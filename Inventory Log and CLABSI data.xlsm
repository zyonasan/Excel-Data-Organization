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mc:AlternateContent xmlns:mc="http://schemas.openxmlformats.org/markup-compatibility/2006">
    <mc:Choice Requires="x15">
      <x15ac:absPath xmlns:x15ac="http://schemas.microsoft.com/office/spreadsheetml/2010/11/ac" url="C:\Users\joqui\Desktop\"/>
    </mc:Choice>
  </mc:AlternateContent>
  <xr:revisionPtr revIDLastSave="0" documentId="13_ncr:1_{1744B4CB-03A7-4BF3-B03E-81BC5B85E22C}" xr6:coauthVersionLast="47" xr6:coauthVersionMax="47" xr10:uidLastSave="{00000000-0000-0000-0000-000000000000}"/>
  <bookViews>
    <workbookView xWindow="-108" yWindow="-108" windowWidth="23256" windowHeight="12576" xr2:uid="{0EBBD6EB-C8CE-49BF-B08C-96B48C2099C5}"/>
  </bookViews>
  <sheets>
    <sheet name="002550 Freezer Inventory Log" sheetId="2" r:id="rId1"/>
    <sheet name="002550 Freezer_Non-Macro" sheetId="3" r:id="rId2"/>
    <sheet name="Vlookup Freezer Inventory Log" sheetId="4" r:id="rId3"/>
    <sheet name="Raw CLABSI Data" sheetId="5" r:id="rId4"/>
    <sheet name="CLABSI Pivot Data" sheetId="8" r:id="rId5"/>
    <sheet name="Cleaned CLABSI Data" sheetId="6" r:id="rId6"/>
  </sheets>
  <definedNames>
    <definedName name="Slicer_Shelf_Level__1_5__D_Door1">#N/A</definedName>
  </definedNames>
  <calcPr calcId="191029"/>
  <pivotCaches>
    <pivotCache cacheId="0" r:id="rId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4" l="1"/>
  <c r="H14" i="3" a="1"/>
  <c r="H14"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<sst xmlns="http://schemas.openxmlformats.org/spreadsheetml/2006/main" count="5778" uniqueCount="802">
  <si>
    <t>B</t>
  </si>
  <si>
    <t>2K14024</t>
  </si>
  <si>
    <t>2K14043</t>
  </si>
  <si>
    <t>2K12025B</t>
  </si>
  <si>
    <t>2K09041A</t>
  </si>
  <si>
    <t>2K15011</t>
  </si>
  <si>
    <t>31-18-0140</t>
  </si>
  <si>
    <t>2K08051</t>
  </si>
  <si>
    <t>2K13041</t>
  </si>
  <si>
    <t>2K09044A</t>
  </si>
  <si>
    <t>2K09051B</t>
  </si>
  <si>
    <t>2K08026</t>
  </si>
  <si>
    <t>2K17009</t>
  </si>
  <si>
    <t>2K16038</t>
  </si>
  <si>
    <t>PPL1127</t>
  </si>
  <si>
    <t>2K16046</t>
  </si>
  <si>
    <t>PPL1130</t>
  </si>
  <si>
    <t>2K16045</t>
  </si>
  <si>
    <t>PPL1128</t>
  </si>
  <si>
    <t>31-20-0018</t>
  </si>
  <si>
    <t>2K16041</t>
  </si>
  <si>
    <t>PPL1129</t>
  </si>
  <si>
    <t>31-20-0021</t>
  </si>
  <si>
    <t>31-20-0016</t>
  </si>
  <si>
    <t>31-20-0015</t>
  </si>
  <si>
    <t>PPL1126</t>
  </si>
  <si>
    <t>31-22-0046</t>
  </si>
  <si>
    <t>PPL1931</t>
  </si>
  <si>
    <t>2K17023</t>
  </si>
  <si>
    <t>PPL1892</t>
  </si>
  <si>
    <t>2K17014</t>
  </si>
  <si>
    <t>PPL1646</t>
  </si>
  <si>
    <t>31-19-0031</t>
  </si>
  <si>
    <t>PPL1302</t>
  </si>
  <si>
    <t>31-19-0026</t>
  </si>
  <si>
    <t>PPL1301</t>
  </si>
  <si>
    <t>31-18-0039</t>
  </si>
  <si>
    <t>PPL1794</t>
  </si>
  <si>
    <t>31-19-0028</t>
  </si>
  <si>
    <t>PPL1299</t>
  </si>
  <si>
    <t>31-21-0079</t>
  </si>
  <si>
    <t>PPL1387</t>
  </si>
  <si>
    <t>31-19-0041</t>
  </si>
  <si>
    <t>PPL1300</t>
  </si>
  <si>
    <t>31-19-0035</t>
  </si>
  <si>
    <t>PPL1307</t>
  </si>
  <si>
    <t>31-19-0018</t>
  </si>
  <si>
    <t>PPL1297</t>
  </si>
  <si>
    <t>31-19-0089</t>
  </si>
  <si>
    <t>2K17007</t>
  </si>
  <si>
    <t>PPL1311</t>
  </si>
  <si>
    <t>2K16009</t>
  </si>
  <si>
    <t>2K16062</t>
  </si>
  <si>
    <t>PPL1225</t>
  </si>
  <si>
    <t>31-19-0050</t>
  </si>
  <si>
    <t>PPL1303</t>
  </si>
  <si>
    <t>31-21-0086</t>
  </si>
  <si>
    <t>2K15031</t>
  </si>
  <si>
    <t>PPL1133</t>
  </si>
  <si>
    <t>2K17027</t>
  </si>
  <si>
    <t>PPL1814</t>
  </si>
  <si>
    <t>31-18-0008</t>
  </si>
  <si>
    <t>PPL1156</t>
  </si>
  <si>
    <t>2K17024</t>
  </si>
  <si>
    <t>PPL1158</t>
  </si>
  <si>
    <t>2K17010</t>
  </si>
  <si>
    <t>PPL1135</t>
  </si>
  <si>
    <t>31-19-0087</t>
  </si>
  <si>
    <t>PPL1829</t>
  </si>
  <si>
    <t>31-18-0056</t>
  </si>
  <si>
    <t>PPL1963</t>
  </si>
  <si>
    <t>31-19-0175</t>
  </si>
  <si>
    <t>PPL1349</t>
  </si>
  <si>
    <t>2K15033</t>
  </si>
  <si>
    <t>PPL1134</t>
  </si>
  <si>
    <t>31-19-0101</t>
  </si>
  <si>
    <t>2K16022</t>
  </si>
  <si>
    <t>31-20--0052</t>
  </si>
  <si>
    <t>2K15048</t>
  </si>
  <si>
    <t>2K16032</t>
  </si>
  <si>
    <t>2K15012</t>
  </si>
  <si>
    <t>PPL1138</t>
  </si>
  <si>
    <t>2K18006</t>
  </si>
  <si>
    <t>2K15032</t>
  </si>
  <si>
    <t>PPL1157</t>
  </si>
  <si>
    <t>31-21-0045</t>
  </si>
  <si>
    <t>PPL1625</t>
  </si>
  <si>
    <t>31-21-0071</t>
  </si>
  <si>
    <t>PPL2803</t>
  </si>
  <si>
    <t>31-18-0120</t>
  </si>
  <si>
    <t>PPL1917</t>
  </si>
  <si>
    <t>141041-02</t>
  </si>
  <si>
    <t>349044-04</t>
  </si>
  <si>
    <t>AHF32</t>
  </si>
  <si>
    <t>470-154</t>
  </si>
  <si>
    <t>AHF95B</t>
  </si>
  <si>
    <t>105055-13</t>
  </si>
  <si>
    <t>AGZ7-16</t>
  </si>
  <si>
    <t>287191-11</t>
  </si>
  <si>
    <t>AHF71B</t>
  </si>
  <si>
    <t>470-103</t>
  </si>
  <si>
    <t>AHF66</t>
  </si>
  <si>
    <t>470-152</t>
  </si>
  <si>
    <t>287191-10</t>
  </si>
  <si>
    <t>30-18-0169-01</t>
  </si>
  <si>
    <t>042-75-01</t>
  </si>
  <si>
    <t>AJ24-8</t>
  </si>
  <si>
    <t>287191-03</t>
  </si>
  <si>
    <t>AHF71</t>
  </si>
  <si>
    <t>042-74-03</t>
  </si>
  <si>
    <t>AJF3</t>
  </si>
  <si>
    <t>346135-18</t>
  </si>
  <si>
    <t>042-74-20</t>
  </si>
  <si>
    <t>AJC5-11</t>
  </si>
  <si>
    <t>473-26</t>
  </si>
  <si>
    <t>AJF84</t>
  </si>
  <si>
    <t>105139-13</t>
  </si>
  <si>
    <t>AMF110</t>
  </si>
  <si>
    <t>042-83-18</t>
  </si>
  <si>
    <t>155001-05</t>
  </si>
  <si>
    <t>474-16</t>
  </si>
  <si>
    <t>042-70-08</t>
  </si>
  <si>
    <t>AHF63</t>
  </si>
  <si>
    <t>471-130</t>
  </si>
  <si>
    <t>127060-10</t>
  </si>
  <si>
    <t>042-78-09</t>
  </si>
  <si>
    <t>127058-01</t>
  </si>
  <si>
    <t>ANF60</t>
  </si>
  <si>
    <t>127048-17</t>
  </si>
  <si>
    <t>AMF97</t>
  </si>
  <si>
    <t>346184-17</t>
  </si>
  <si>
    <t>ANF114</t>
  </si>
  <si>
    <t>474-67-02</t>
  </si>
  <si>
    <t>ANF107</t>
  </si>
  <si>
    <t>042-71-18</t>
  </si>
  <si>
    <t>AHZ16-11</t>
  </si>
  <si>
    <t>127059-17</t>
  </si>
  <si>
    <t>ANF70</t>
  </si>
  <si>
    <t>473-75</t>
  </si>
  <si>
    <t>AMF112</t>
  </si>
  <si>
    <t>127046-02</t>
  </si>
  <si>
    <t>470-166</t>
  </si>
  <si>
    <t>474-2</t>
  </si>
  <si>
    <t>AJF150</t>
  </si>
  <si>
    <t>349070-07</t>
  </si>
  <si>
    <t>473-30</t>
  </si>
  <si>
    <t>127072-01</t>
  </si>
  <si>
    <t>472-85</t>
  </si>
  <si>
    <t>AFH69B</t>
  </si>
  <si>
    <t>L</t>
  </si>
  <si>
    <t>31-20-0115</t>
  </si>
  <si>
    <t>31-20-0055</t>
  </si>
  <si>
    <t>PPL2175</t>
  </si>
  <si>
    <t>31-18-0057</t>
  </si>
  <si>
    <t>31-22-0036</t>
  </si>
  <si>
    <t>PPL3177</t>
  </si>
  <si>
    <t>31-22-0065</t>
  </si>
  <si>
    <t>PPL2330</t>
  </si>
  <si>
    <t>31-20-0031</t>
  </si>
  <si>
    <t>PPL2665</t>
  </si>
  <si>
    <t>PPL2130</t>
  </si>
  <si>
    <t>31-20-0134</t>
  </si>
  <si>
    <t>PPL2666</t>
  </si>
  <si>
    <t>31-18-0063</t>
  </si>
  <si>
    <t>PPL2129</t>
  </si>
  <si>
    <t>31-21-0060</t>
  </si>
  <si>
    <t>PPL2664</t>
  </si>
  <si>
    <t>31-21-0097</t>
  </si>
  <si>
    <t>PPL2859</t>
  </si>
  <si>
    <t>D</t>
  </si>
  <si>
    <t>474-13</t>
  </si>
  <si>
    <t>AJF92</t>
  </si>
  <si>
    <t>31-20-0022</t>
  </si>
  <si>
    <t>PPL1812</t>
  </si>
  <si>
    <t>31-18-0064</t>
  </si>
  <si>
    <t>2K17028</t>
  </si>
  <si>
    <t>PPL1891</t>
  </si>
  <si>
    <t>31-21-0048</t>
  </si>
  <si>
    <r>
      <t xml:space="preserve">PPL1977 </t>
    </r>
    <r>
      <rPr>
        <sz val="8"/>
        <color theme="1"/>
        <rFont val="Calibri"/>
        <family val="2"/>
        <scheme val="minor"/>
      </rPr>
      <t>(broken vial x1 for disposal)</t>
    </r>
  </si>
  <si>
    <t>31-19-0020</t>
  </si>
  <si>
    <t>PPL1084</t>
  </si>
  <si>
    <t>31-21-0125</t>
  </si>
  <si>
    <t>PPL3049</t>
  </si>
  <si>
    <t>31-21-0128</t>
  </si>
  <si>
    <r>
      <t xml:space="preserve">PPL3026 </t>
    </r>
    <r>
      <rPr>
        <sz val="8"/>
        <color theme="1"/>
        <rFont val="Calibri"/>
        <family val="2"/>
        <scheme val="minor"/>
      </rPr>
      <t>(broken vial x1 for disposal)</t>
    </r>
  </si>
  <si>
    <t>31-19-0045</t>
  </si>
  <si>
    <t>PPL2165</t>
  </si>
  <si>
    <t>31-21-0023</t>
  </si>
  <si>
    <t>PPL2964</t>
  </si>
  <si>
    <t>31-19-0116</t>
  </si>
  <si>
    <t>PPL2470</t>
  </si>
  <si>
    <t>31-20-0064</t>
  </si>
  <si>
    <t>PPL2523</t>
  </si>
  <si>
    <t>31-21-0029</t>
  </si>
  <si>
    <t>PPL2963</t>
  </si>
  <si>
    <t>31-21-0131</t>
  </si>
  <si>
    <t>PPL3109</t>
  </si>
  <si>
    <t>31-18-0019</t>
  </si>
  <si>
    <t>PPL2019</t>
  </si>
  <si>
    <t>31-20-0034</t>
  </si>
  <si>
    <t>PPL2723</t>
  </si>
  <si>
    <t>31-21-0031</t>
  </si>
  <si>
    <t>PPL2965</t>
  </si>
  <si>
    <t>31-20-0036</t>
  </si>
  <si>
    <t>PPL2709</t>
  </si>
  <si>
    <t>31-22-0031</t>
  </si>
  <si>
    <t>PPL3178</t>
  </si>
  <si>
    <t>31-20-0131</t>
  </si>
  <si>
    <t>PPL2173</t>
  </si>
  <si>
    <t>31-21-0007</t>
  </si>
  <si>
    <t>PPL2945</t>
  </si>
  <si>
    <t>31-21-0110</t>
  </si>
  <si>
    <t>PPL2349</t>
  </si>
  <si>
    <t>31-22-0024</t>
  </si>
  <si>
    <t>PPL2525</t>
  </si>
  <si>
    <t>31-22-0069</t>
  </si>
  <si>
    <t>PPL2331</t>
  </si>
  <si>
    <t>31-18-0095</t>
  </si>
  <si>
    <t>PPL2025</t>
  </si>
  <si>
    <t>31-21-0070</t>
  </si>
  <si>
    <t>PPL1175</t>
  </si>
  <si>
    <t>31-21-0094</t>
  </si>
  <si>
    <t>PPL2021</t>
  </si>
  <si>
    <t>31-22-0059</t>
  </si>
  <si>
    <t>PPL2329</t>
  </si>
  <si>
    <t>31-22-0072</t>
  </si>
  <si>
    <t>PPL2137b</t>
  </si>
  <si>
    <t>PPL1977</t>
  </si>
  <si>
    <t>31-21-0054</t>
  </si>
  <si>
    <t>PPL1954</t>
  </si>
  <si>
    <t>31-21-0055</t>
  </si>
  <si>
    <t>PPL2192</t>
  </si>
  <si>
    <t>PPL3026</t>
  </si>
  <si>
    <t>31-21-0114</t>
  </si>
  <si>
    <t>31-22-0007</t>
  </si>
  <si>
    <t>PPL3127</t>
  </si>
  <si>
    <t>31-20-0056</t>
  </si>
  <si>
    <t>31-21-0123</t>
  </si>
  <si>
    <t>PPL2602</t>
  </si>
  <si>
    <t>31-21-0120</t>
  </si>
  <si>
    <t>PPL2023</t>
  </si>
  <si>
    <t>31-18-0091</t>
  </si>
  <si>
    <t>PPL2171</t>
  </si>
  <si>
    <t>31-21-0116</t>
  </si>
  <si>
    <t>PPL2137</t>
  </si>
  <si>
    <t>31-21-0104</t>
  </si>
  <si>
    <t>31-21-0108</t>
  </si>
  <si>
    <t>31-21-0137</t>
  </si>
  <si>
    <t>PPL2022</t>
  </si>
  <si>
    <t>In a Bin or Loose (B/L)</t>
  </si>
  <si>
    <t>Shelf Level (1-5, D=Door)</t>
  </si>
  <si>
    <t>Lot Number</t>
  </si>
  <si>
    <t>Protocol Number</t>
  </si>
  <si>
    <t>Freezer Asset ID: 002550</t>
  </si>
  <si>
    <t>Alt Number</t>
  </si>
  <si>
    <t>PPL3399</t>
  </si>
  <si>
    <t>PPL3110</t>
  </si>
  <si>
    <t>PPL1895</t>
  </si>
  <si>
    <t>PPL2469</t>
  </si>
  <si>
    <t>PPL2590</t>
  </si>
  <si>
    <t>PPL2113</t>
  </si>
  <si>
    <t>PPL2510</t>
  </si>
  <si>
    <r>
      <t xml:space="preserve">PPL1156 </t>
    </r>
    <r>
      <rPr>
        <sz val="8"/>
        <color theme="1"/>
        <rFont val="Calibri"/>
        <family val="2"/>
        <scheme val="minor"/>
      </rPr>
      <t>(1 of 2)</t>
    </r>
  </si>
  <si>
    <r>
      <t xml:space="preserve">PPL1156 </t>
    </r>
    <r>
      <rPr>
        <sz val="8"/>
        <color theme="1"/>
        <rFont val="Calibri"/>
        <family val="2"/>
        <scheme val="minor"/>
      </rPr>
      <t>(2 of 2)</t>
    </r>
  </si>
  <si>
    <t>PPL2020</t>
  </si>
  <si>
    <t>MPS-178</t>
  </si>
  <si>
    <t>PPL2074</t>
  </si>
  <si>
    <t>PPL2773</t>
  </si>
  <si>
    <t>PPL2354</t>
  </si>
  <si>
    <t>PPL2190</t>
  </si>
  <si>
    <t>PPL2946</t>
  </si>
  <si>
    <t>PPL2059</t>
  </si>
  <si>
    <t>31-21-0075</t>
  </si>
  <si>
    <t>31-20-0127</t>
  </si>
  <si>
    <t>31-21-0085</t>
  </si>
  <si>
    <t>31-20-0013</t>
  </si>
  <si>
    <t>31-20-0002</t>
  </si>
  <si>
    <t>31-21-0018</t>
  </si>
  <si>
    <t>31-21-0042</t>
  </si>
  <si>
    <t>31-18-0125</t>
  </si>
  <si>
    <t>2K18003</t>
  </si>
  <si>
    <t>31-18-0082</t>
  </si>
  <si>
    <t>31-18-0124</t>
  </si>
  <si>
    <t>31-20-0106</t>
  </si>
  <si>
    <t>31-21-0040</t>
  </si>
  <si>
    <t>31-20-0105</t>
  </si>
  <si>
    <t>31-21-0101</t>
  </si>
  <si>
    <t>31-18-0021</t>
  </si>
  <si>
    <t>2K07027</t>
  </si>
  <si>
    <t>2K10013A</t>
  </si>
  <si>
    <t>2K06011</t>
  </si>
  <si>
    <t>2K11016A</t>
  </si>
  <si>
    <t>2K17015</t>
  </si>
  <si>
    <t>31-19-0053</t>
  </si>
  <si>
    <t>2J13035A</t>
  </si>
  <si>
    <t>31-19-0140</t>
  </si>
  <si>
    <t>2K12025A</t>
  </si>
  <si>
    <t>AJF1</t>
  </si>
  <si>
    <t>AJF154</t>
  </si>
  <si>
    <t>AJF91</t>
  </si>
  <si>
    <t>AHF94</t>
  </si>
  <si>
    <t>AJF153</t>
  </si>
  <si>
    <t>AJF156</t>
  </si>
  <si>
    <t>AJF76</t>
  </si>
  <si>
    <t>AJF81</t>
  </si>
  <si>
    <t>AKF54</t>
  </si>
  <si>
    <t>AMF11C</t>
  </si>
  <si>
    <t>AMF25</t>
  </si>
  <si>
    <t>ANF71</t>
  </si>
  <si>
    <t>ANF82</t>
  </si>
  <si>
    <t>APF112</t>
  </si>
  <si>
    <t/>
  </si>
  <si>
    <t xml:space="preserve">Search </t>
  </si>
  <si>
    <t>ANF80</t>
  </si>
  <si>
    <t>Year</t>
  </si>
  <si>
    <t>State</t>
  </si>
  <si>
    <t>Facility_ID</t>
  </si>
  <si>
    <t>Facility_Name</t>
  </si>
  <si>
    <t>County</t>
  </si>
  <si>
    <t>Hospital_Category_RiskAdjustment</t>
  </si>
  <si>
    <t>Facility_Type</t>
  </si>
  <si>
    <t>Infections_Reported</t>
  </si>
  <si>
    <t>Infections_Predicted</t>
  </si>
  <si>
    <t>Comparison</t>
  </si>
  <si>
    <t>California</t>
  </si>
  <si>
    <t>Central Line-Associated Bloodstream Infection (CLABSI)</t>
  </si>
  <si>
    <t>Better</t>
  </si>
  <si>
    <t>Worse</t>
  </si>
  <si>
    <t>Same</t>
  </si>
  <si>
    <t>Alameda Hospital</t>
  </si>
  <si>
    <t>Alameda</t>
  </si>
  <si>
    <t>Acute Care Hospital</t>
  </si>
  <si>
    <t>Community, &lt;125 Beds</t>
  </si>
  <si>
    <t>Alta Bates Summit Medical Center</t>
  </si>
  <si>
    <t>Major Teaching</t>
  </si>
  <si>
    <t>Rehabilitation Hospital or Unit</t>
  </si>
  <si>
    <t>Rehabilitation Unit</t>
  </si>
  <si>
    <t>Alta Bates Summit Medical Center, Alta Bates Campus</t>
  </si>
  <si>
    <t>Eden Medical Center</t>
  </si>
  <si>
    <t>Community, 125-250 Beds</t>
  </si>
  <si>
    <t>Highland Hospital</t>
  </si>
  <si>
    <t>Kaiser Foundation Hospital, Fremont</t>
  </si>
  <si>
    <t>Kaiser Foundation Hospital, Oakland/Richmond</t>
  </si>
  <si>
    <t>Kaiser Foundation Hospital, San Leandro</t>
  </si>
  <si>
    <t>Kindred Hospital, San Francisco Bay Area</t>
  </si>
  <si>
    <t>Long-Term Acute Care Hospital</t>
  </si>
  <si>
    <t>Long-Term Acute Care</t>
  </si>
  <si>
    <t>San Leandro Hospital</t>
  </si>
  <si>
    <t>St Rose Hospital</t>
  </si>
  <si>
    <t>Stanford Health Care - ValleyCare</t>
  </si>
  <si>
    <t>UCSF Benioff Children's Hospital Oakland</t>
  </si>
  <si>
    <t>Pediatric</t>
  </si>
  <si>
    <t>Washington Hospital</t>
  </si>
  <si>
    <t>Community, &gt;250 Beds</t>
  </si>
  <si>
    <t>Sutter Amador Hospital</t>
  </si>
  <si>
    <t>Amador</t>
  </si>
  <si>
    <t>Enloe Medical Center, Esplanade</t>
  </si>
  <si>
    <t>Butte</t>
  </si>
  <si>
    <t>Enloe Rehabilitation Center</t>
  </si>
  <si>
    <t>Free-Standing Rehabilitation</t>
  </si>
  <si>
    <t>Orchard Hospital</t>
  </si>
  <si>
    <t>Critical Access Hospital</t>
  </si>
  <si>
    <t>Critical Access</t>
  </si>
  <si>
    <t>Oroville Hospital</t>
  </si>
  <si>
    <t>Mark Twain Medical Center</t>
  </si>
  <si>
    <t>Calaveras</t>
  </si>
  <si>
    <t>Colusa Medical Center</t>
  </si>
  <si>
    <t>Colusa</t>
  </si>
  <si>
    <t>Contra Costa Regional Medical Center</t>
  </si>
  <si>
    <t>Contra Costa</t>
  </si>
  <si>
    <t>John Muir Medical Center, Concord Campus</t>
  </si>
  <si>
    <t>John Muir Medical Center, Walnut Creek Campus</t>
  </si>
  <si>
    <t>Kaiser Foundation Hospital, Antioch</t>
  </si>
  <si>
    <t>Kaiser Foundation Hospital, Richmond Campus</t>
  </si>
  <si>
    <t>Kaiser Foundation Hospital, Walnut Creek</t>
  </si>
  <si>
    <t>San Ramon Regional Medical Center</t>
  </si>
  <si>
    <t>Sutter Delta Medical Center</t>
  </si>
  <si>
    <t>Sutter Coast Hospital</t>
  </si>
  <si>
    <t>Del Norte</t>
  </si>
  <si>
    <t>Barton Memorial Hospital</t>
  </si>
  <si>
    <t>El Dorado</t>
  </si>
  <si>
    <t>Marshall Medical Center</t>
  </si>
  <si>
    <t>Adventist Health Reedley</t>
  </si>
  <si>
    <t>Fresno</t>
  </si>
  <si>
    <t>Adventist Health Selma</t>
  </si>
  <si>
    <t>Clovis Community Medical Center</t>
  </si>
  <si>
    <t>Coalinga Regional Medical Center</t>
  </si>
  <si>
    <t>Community Regional Medical Center</t>
  </si>
  <si>
    <t>Fresno Heart and Surgical Hospital</t>
  </si>
  <si>
    <t>Fresno Surgical Hospital</t>
  </si>
  <si>
    <t>Kaiser Foundation Hospital, Fresno</t>
  </si>
  <si>
    <t>Saint Agnes Medical Center</t>
  </si>
  <si>
    <t>San Joaquin Valley Rehabilitation Hospital</t>
  </si>
  <si>
    <t>Glenn Medical Center</t>
  </si>
  <si>
    <t>Glenn</t>
  </si>
  <si>
    <t>Jerold Phelps Community Hospital</t>
  </si>
  <si>
    <t>Humboldt</t>
  </si>
  <si>
    <t>Mad River Community Hospital</t>
  </si>
  <si>
    <t>Providence Redwood Memorial Hospital</t>
  </si>
  <si>
    <t>Providence St. Joseph Hospital, Eureka</t>
  </si>
  <si>
    <t>The General Hospital</t>
  </si>
  <si>
    <t>El Centro Regional Medical Center</t>
  </si>
  <si>
    <t>Imperial</t>
  </si>
  <si>
    <t>Pioneers Memorial Healthcare District</t>
  </si>
  <si>
    <t>Northern Inyo Hospital</t>
  </si>
  <si>
    <t>Inyo</t>
  </si>
  <si>
    <t>Southern Inyo Hospital</t>
  </si>
  <si>
    <t>Adventist Health Bakersfield</t>
  </si>
  <si>
    <t>Kern</t>
  </si>
  <si>
    <t>Adventist Health Delano</t>
  </si>
  <si>
    <t>Adventist Health Tehachapi Valley</t>
  </si>
  <si>
    <t>Bakersfield Heart Hospital</t>
  </si>
  <si>
    <t>Bakersfield Memorial Hospital</t>
  </si>
  <si>
    <t>Encompass Health Rehabilitation Hospital of Bakersfield</t>
  </si>
  <si>
    <t>Good Samaritan Hospital, Bakersfield</t>
  </si>
  <si>
    <t>Kern Medical Center</t>
  </si>
  <si>
    <t>Kern Valley Healthcare District</t>
  </si>
  <si>
    <t>Mercy Hospital</t>
  </si>
  <si>
    <t>Mercy Southwest Hospital</t>
  </si>
  <si>
    <t>Ridgecrest Regional Hospital</t>
  </si>
  <si>
    <t>Adventist Health Hanford</t>
  </si>
  <si>
    <t>Kings</t>
  </si>
  <si>
    <t>Adventist Health Clearlake</t>
  </si>
  <si>
    <t>Lake</t>
  </si>
  <si>
    <t>Sutter Lakeside Hospital</t>
  </si>
  <si>
    <t>Banner Lassen Medical Center</t>
  </si>
  <si>
    <t>Lassen</t>
  </si>
  <si>
    <t>Adventist Health Glendale</t>
  </si>
  <si>
    <t>Los Angeles</t>
  </si>
  <si>
    <t>Adventist Health White Memorial</t>
  </si>
  <si>
    <t>Alhambra Hospital Medical Center</t>
  </si>
  <si>
    <t>Antelope Valley Hospital</t>
  </si>
  <si>
    <t>Barlow Respiratory Hospital</t>
  </si>
  <si>
    <t>Beverly Hospital</t>
  </si>
  <si>
    <t>California Hospital Medical Center, Los Angeles</t>
  </si>
  <si>
    <t>California Rehabilitation Institute</t>
  </si>
  <si>
    <t>Casa Colina  Hospital</t>
  </si>
  <si>
    <t>Casa Colina Hospital</t>
  </si>
  <si>
    <t>Catalina Island Medical Center</t>
  </si>
  <si>
    <t>Cedars-Sinai Marina Del Rey Hospital</t>
  </si>
  <si>
    <t>Cedars-Sinai Medical Center</t>
  </si>
  <si>
    <t>Centinela Hospital Medical Center</t>
  </si>
  <si>
    <t>Children's Hospital Los Angeles</t>
  </si>
  <si>
    <t>City of Hope Helford Clinical Research Hospital</t>
  </si>
  <si>
    <t>Coast Plaza Hospital</t>
  </si>
  <si>
    <t>College Medical Center</t>
  </si>
  <si>
    <t>Community Hospital of Huntington Park</t>
  </si>
  <si>
    <t>DOCS Surgical Hospital</t>
  </si>
  <si>
    <t>East Los Angeles Doctors Hospital</t>
  </si>
  <si>
    <t>Emanate Health Foothill Presbyterian Hospital</t>
  </si>
  <si>
    <t>Emanate Health Inter-Community Hospital</t>
  </si>
  <si>
    <t>Emanate Health Queen of the Valley Hospital</t>
  </si>
  <si>
    <t>Encino Hospital Medical Center</t>
  </si>
  <si>
    <t>Garfield Medical Center</t>
  </si>
  <si>
    <t>Glendale Memorial Hospital and Health Center</t>
  </si>
  <si>
    <t>Good Samaritan Hospital, Los Angeles</t>
  </si>
  <si>
    <t>Greater El Monte Community Hospital</t>
  </si>
  <si>
    <t>Henry Mayo Newhall Hospital</t>
  </si>
  <si>
    <t>Hollywood Presbyterian Medical Center</t>
  </si>
  <si>
    <t>Huntington Hospital</t>
  </si>
  <si>
    <t>Kaiser Foundation Hospital, Baldwin Park</t>
  </si>
  <si>
    <t>Kaiser Foundation Hospital, Downey</t>
  </si>
  <si>
    <t>Kaiser Foundation Hospital, Los Angeles</t>
  </si>
  <si>
    <t>Kaiser Foundation Hospital, Panorama City</t>
  </si>
  <si>
    <t>Kaiser Foundation Hospital, South Bay</t>
  </si>
  <si>
    <t>Kaiser Foundation Hospital, West LA</t>
  </si>
  <si>
    <t>Kaiser Foundation Hospital, Woodland Hills</t>
  </si>
  <si>
    <t>Keck Hospital of USC</t>
  </si>
  <si>
    <t>Kindred Hospital Paramount</t>
  </si>
  <si>
    <t>Kindred Hospital, Baldwin Park</t>
  </si>
  <si>
    <t>Kindred Hospital, La Mirada</t>
  </si>
  <si>
    <t>Kindred Hospital, Los Angeles</t>
  </si>
  <si>
    <t>Kindred Hospital, San Gabriel Valley</t>
  </si>
  <si>
    <t>Kindred Hospital, South Bay</t>
  </si>
  <si>
    <t>L.A. Downtown Medical Center</t>
  </si>
  <si>
    <t>LAC+USC Medical Center</t>
  </si>
  <si>
    <t>LAC/Harbor UCLA Medical Center</t>
  </si>
  <si>
    <t>LAC/Olive View-UCLA Medical Center</t>
  </si>
  <si>
    <t>LAC/Rancho Los Amigos National Rehabilitation Center</t>
  </si>
  <si>
    <t>Lakewood Regional Medical Center</t>
  </si>
  <si>
    <t>Los Angeles Community Hospital</t>
  </si>
  <si>
    <t>Martin Luther King Jr. Community Hospital</t>
  </si>
  <si>
    <t>Memorial Hospital of Gardena</t>
  </si>
  <si>
    <t>MemorialCare Long Beach Medical Center</t>
  </si>
  <si>
    <t>MemorialCare Miller Children's &amp; Women's Hospital Long Beach</t>
  </si>
  <si>
    <t>Methodist Hospital of Southern California</t>
  </si>
  <si>
    <t>Mission Community Hospital</t>
  </si>
  <si>
    <t>Monrovia Memorial Hospital</t>
  </si>
  <si>
    <t>Monterey Park Hospital</t>
  </si>
  <si>
    <t>Northridge Hospital Medical Center</t>
  </si>
  <si>
    <t>Norwalk Community Hospital</t>
  </si>
  <si>
    <t>Olympia Medical Center</t>
  </si>
  <si>
    <t>PIH Health Hospital, Downey</t>
  </si>
  <si>
    <t>PIH Health Hospital, Whittier</t>
  </si>
  <si>
    <t>Pacific Gardens Medical Center</t>
  </si>
  <si>
    <t>Pacifica Hospital of the Valley</t>
  </si>
  <si>
    <t>Palmdale Regional Medical Center</t>
  </si>
  <si>
    <t>Pomona Valley Hospital Medical Center</t>
  </si>
  <si>
    <t>Providence Cedars-Sinai Tarzana Medical Center</t>
  </si>
  <si>
    <t>Providence Holy Cross Medical Center</t>
  </si>
  <si>
    <t>Providence Little Company of Mary Medical Center San Pedro</t>
  </si>
  <si>
    <t>Providence Little Company of Mary Medical Center Torrance</t>
  </si>
  <si>
    <t>Providence Saint John's Health Center</t>
  </si>
  <si>
    <t>Providence Saint Joseph Medical Center</t>
  </si>
  <si>
    <t>Ronald Reagan UCLA Medical Center</t>
  </si>
  <si>
    <t>San Dimas Community Hospital</t>
  </si>
  <si>
    <t>San Gabriel Valley Medical Center</t>
  </si>
  <si>
    <t>Santa Monica - UCLA Medical Center and Orthopaedic Hospital</t>
  </si>
  <si>
    <t>Sherman Oaks Hospital</t>
  </si>
  <si>
    <t>Southern California Hospital at Culver City</t>
  </si>
  <si>
    <t>Southern California Hospital at Hollywood</t>
  </si>
  <si>
    <t>St. Francis Medical Center</t>
  </si>
  <si>
    <t>St. Mary Medical Center, Long Beach</t>
  </si>
  <si>
    <t>Torrance Memorial Medical Center</t>
  </si>
  <si>
    <t>USC Kenneth Norris Jr. Cancer Hospital</t>
  </si>
  <si>
    <t>USC Verdugo Hills Hospital</t>
  </si>
  <si>
    <t>Valley Presbyterian Hospital</t>
  </si>
  <si>
    <t>West Covina Medical Center</t>
  </si>
  <si>
    <t>West Hills Hospital &amp; Medical Center</t>
  </si>
  <si>
    <t>Whittier Hospital Medical Center</t>
  </si>
  <si>
    <t>Madera Community Hospital</t>
  </si>
  <si>
    <t>Madera</t>
  </si>
  <si>
    <t>Valley Children's Hospital</t>
  </si>
  <si>
    <t>Kaiser Foundation Hospital, San Rafael</t>
  </si>
  <si>
    <t>Marin</t>
  </si>
  <si>
    <t>Kentfield Hospital</t>
  </si>
  <si>
    <t>MarinHealth Medical Center</t>
  </si>
  <si>
    <t>Novato Community Hospital</t>
  </si>
  <si>
    <t>John C. Fremont Healthcare District</t>
  </si>
  <si>
    <t>Mariposa</t>
  </si>
  <si>
    <t>Adventist Health Howard Memorial</t>
  </si>
  <si>
    <t>Mendocino</t>
  </si>
  <si>
    <t>Adventist Health Mendocino Coast</t>
  </si>
  <si>
    <t>Adventist Health Ukiah Valley</t>
  </si>
  <si>
    <t>Memorial Hospital Los Banos</t>
  </si>
  <si>
    <t>Merced</t>
  </si>
  <si>
    <t>Mercy Medical Center</t>
  </si>
  <si>
    <t>Modoc Medical Center</t>
  </si>
  <si>
    <t>Modoc</t>
  </si>
  <si>
    <t>Surprise Valley Community Hospital</t>
  </si>
  <si>
    <t>Mammoth Hospital</t>
  </si>
  <si>
    <t>Mono</t>
  </si>
  <si>
    <t>Community Hospital of The Monterey Peninsula</t>
  </si>
  <si>
    <t>Monterey</t>
  </si>
  <si>
    <t>George L. Mee Memorial Hospital</t>
  </si>
  <si>
    <t>Natividad Medical Center</t>
  </si>
  <si>
    <t>Salinas Valley Memorial Hospital</t>
  </si>
  <si>
    <t>Adventist Health St. Helena</t>
  </si>
  <si>
    <t>Napa</t>
  </si>
  <si>
    <t>Providence Queen of the Valley Medical Center</t>
  </si>
  <si>
    <t>Sierra Nevada Memorial Hospital</t>
  </si>
  <si>
    <t>Nevada</t>
  </si>
  <si>
    <t>Tahoe Forest Hospital</t>
  </si>
  <si>
    <t>AHMC Anaheim Regional Medical Center</t>
  </si>
  <si>
    <t>Orange</t>
  </si>
  <si>
    <t>Anaheim Global Medical Center</t>
  </si>
  <si>
    <t>Chapman Global Medical Center</t>
  </si>
  <si>
    <t>Children's Hospital at Mission</t>
  </si>
  <si>
    <t>Children's Hospital of Orange County</t>
  </si>
  <si>
    <t>College Hospital Costa Mesa</t>
  </si>
  <si>
    <t>Encompass Health Rehabilitation Hospital of Tustin</t>
  </si>
  <si>
    <t>Foothill Regional Medical Center</t>
  </si>
  <si>
    <t>Fountain Valley Regional Hospital and Medical Center</t>
  </si>
  <si>
    <t>Garden Grove Hospital and Medical Center</t>
  </si>
  <si>
    <t>Healthbridge Children's Hospital, Orange</t>
  </si>
  <si>
    <t>Hoag Hospital Irvine</t>
  </si>
  <si>
    <t>Hoag Memorial Hospital Presbyterian</t>
  </si>
  <si>
    <t>Hoag Orthopedic Institute</t>
  </si>
  <si>
    <t>Huntington Beach Hospital</t>
  </si>
  <si>
    <t>Kaiser Foundation Hospital, Orange County, Anaheim</t>
  </si>
  <si>
    <t>Kaiser Foundation Hospital, Orange County, Irvine</t>
  </si>
  <si>
    <t>Kindred Hospital, Brea</t>
  </si>
  <si>
    <t>Kindred Hospital, Santa Ana</t>
  </si>
  <si>
    <t>Kindred Hospital, Westminster</t>
  </si>
  <si>
    <t>La Palma Intercommunity Hospital</t>
  </si>
  <si>
    <t>Los Alamitos Medical Center</t>
  </si>
  <si>
    <t>MemorialCare Orange Coast Medical Center</t>
  </si>
  <si>
    <t>MemorialCare Saddleback Medical Center</t>
  </si>
  <si>
    <t>Orange County Global Medical Center</t>
  </si>
  <si>
    <t>Placentia Linda Hospital</t>
  </si>
  <si>
    <t>Providence Mission Hospital</t>
  </si>
  <si>
    <t>Providence Mission Hospital - Laguna Beach</t>
  </si>
  <si>
    <t>Providence St. Joseph Hospital, Orange</t>
  </si>
  <si>
    <t>Providence St. Jude Medical Center</t>
  </si>
  <si>
    <t>South Coast Global Medical Center</t>
  </si>
  <si>
    <t>University of California Irvine Medical Center</t>
  </si>
  <si>
    <t>West Anaheim Medical Center</t>
  </si>
  <si>
    <t>Kaiser Foundation Hospital, Roseville</t>
  </si>
  <si>
    <t>Placer</t>
  </si>
  <si>
    <t>Sutter Auburn Faith Hospital</t>
  </si>
  <si>
    <t>Sutter Roseville Medical Center</t>
  </si>
  <si>
    <t>Eastern Plumas Hospital, Portola Campus</t>
  </si>
  <si>
    <t>Plumas</t>
  </si>
  <si>
    <t>Plumas District Hospital</t>
  </si>
  <si>
    <t>Seneca District Hospital</t>
  </si>
  <si>
    <t>Corona Regional Medical Center</t>
  </si>
  <si>
    <t>Riverside</t>
  </si>
  <si>
    <t>Desert Regional Medical Center</t>
  </si>
  <si>
    <t>Doctors Hospital of Riverside</t>
  </si>
  <si>
    <t>Eisenhower Medical Center</t>
  </si>
  <si>
    <t>Encompass Health Rehabilitation Hospital of Murrieta</t>
  </si>
  <si>
    <t>Hemet Global Medical Center</t>
  </si>
  <si>
    <t>John F. Kennedy Memorial Hospital</t>
  </si>
  <si>
    <t>Kaiser Foundation Hospital, Moreno Valley</t>
  </si>
  <si>
    <t>Kaiser Foundation Hospital, Riverside</t>
  </si>
  <si>
    <t>Kindred Hospital, Riverside</t>
  </si>
  <si>
    <t>Loma Linda University Medical Center, Murrieta</t>
  </si>
  <si>
    <t>Menifee Global Medical Center</t>
  </si>
  <si>
    <t>Palo Verde Hospital</t>
  </si>
  <si>
    <t>Riverside Community Hospital</t>
  </si>
  <si>
    <t>Riverside University Health System - Medical Center</t>
  </si>
  <si>
    <t>San Gorgonio Memorial Hospital</t>
  </si>
  <si>
    <t>Southwest Healthcare System, Murrieta</t>
  </si>
  <si>
    <t>Southwest Healthcare System, Wildomar</t>
  </si>
  <si>
    <t>Temecula Valley Hospital</t>
  </si>
  <si>
    <t>Vibra Rehabilitation Hospital of Rancho Mirage</t>
  </si>
  <si>
    <t>Kaiser Foundation Hospital, Sacramento</t>
  </si>
  <si>
    <t>Sacramento</t>
  </si>
  <si>
    <t>Kaiser Foundation Hospital, South Sacramento</t>
  </si>
  <si>
    <t>Mercy General Hospital</t>
  </si>
  <si>
    <t>Mercy Hospital of Folsom</t>
  </si>
  <si>
    <t>Mercy San Juan Medical Center</t>
  </si>
  <si>
    <t>Methodist Hospital of Sacramento</t>
  </si>
  <si>
    <t>Shriners Hospitals for Children Northern California</t>
  </si>
  <si>
    <t>Sutter Medical Center, Sacramento</t>
  </si>
  <si>
    <t>University of California Davis Medical Center</t>
  </si>
  <si>
    <t>Vibra Hospital of Sacramento</t>
  </si>
  <si>
    <t>Hazel Hawkins Memorial Hospital</t>
  </si>
  <si>
    <t>San Benito</t>
  </si>
  <si>
    <t>Arrowhead Regional Medical Center</t>
  </si>
  <si>
    <t>San Bernardino</t>
  </si>
  <si>
    <t>Ballard Rehabilitation Hospital</t>
  </si>
  <si>
    <t>Barstow Community Hospital</t>
  </si>
  <si>
    <t>Bear Valley Community Hospital</t>
  </si>
  <si>
    <t>Chino Valley Medical Center</t>
  </si>
  <si>
    <t>Colorado River Medical Center</t>
  </si>
  <si>
    <t>Community Hospital of San Bernardino</t>
  </si>
  <si>
    <t>Desert Valley Hospital</t>
  </si>
  <si>
    <t>Hi-Desert Medical Center</t>
  </si>
  <si>
    <t>Kaiser Foundation Hospital, Fontana</t>
  </si>
  <si>
    <t>Kaiser Foundation Hospital, Ontario</t>
  </si>
  <si>
    <t>Kindred Hospital, Ontario</t>
  </si>
  <si>
    <t>Kindred Hospital, Rancho</t>
  </si>
  <si>
    <t>Loma Linda University Children's Hospital</t>
  </si>
  <si>
    <t>Loma Linda University Medical Center</t>
  </si>
  <si>
    <t>Loma Linda University Medical Center East Campus Hospital</t>
  </si>
  <si>
    <t>Loma Linda University Surgical Hospital</t>
  </si>
  <si>
    <t>Montclair Hospital Medical Center</t>
  </si>
  <si>
    <t>Mountains Community Hospital</t>
  </si>
  <si>
    <t>Providence St. Mary Medical Center, Apple Valley</t>
  </si>
  <si>
    <t>Redlands Community Hospital</t>
  </si>
  <si>
    <t>San Antonio Regional Hospital</t>
  </si>
  <si>
    <t>St. Bernardine Medical Center</t>
  </si>
  <si>
    <t>Totally Kids Rehabilitation Hospital</t>
  </si>
  <si>
    <t>Victor Valley Global Medical Center</t>
  </si>
  <si>
    <t>Alvarado Hospital Medical Center</t>
  </si>
  <si>
    <t>San Diego</t>
  </si>
  <si>
    <t>Grossmont Hospital</t>
  </si>
  <si>
    <t>Kaiser Foundation Hospital, San Diego</t>
  </si>
  <si>
    <t>Kaiser Foundation Hospital, Zion</t>
  </si>
  <si>
    <t>Kindred Hospital, San Diego</t>
  </si>
  <si>
    <t>Palomar Medical Center</t>
  </si>
  <si>
    <t>Palomar Medical Center Poway</t>
  </si>
  <si>
    <t>Paradise Valley Hospital</t>
  </si>
  <si>
    <t>Rady Children's Hospital, San Diego</t>
  </si>
  <si>
    <t>Scripps Green Hospital</t>
  </si>
  <si>
    <t>Scripps Memorial Hospital, Encinitas</t>
  </si>
  <si>
    <t>Scripps Memorial Hospital, La Jolla</t>
  </si>
  <si>
    <t>Scripps Mercy Hospital</t>
  </si>
  <si>
    <t>Scripps Mercy Hospital Chula Vista</t>
  </si>
  <si>
    <t>Select Specialty Hospital - San Diego</t>
  </si>
  <si>
    <t>Sharp Chula Vista Medical Center</t>
  </si>
  <si>
    <t>Sharp Coronado Hospital and Healthcare Center</t>
  </si>
  <si>
    <t>Sharp Mary Birch Hospital For Women And Newborns</t>
  </si>
  <si>
    <t>Sharp Memorial Hospital</t>
  </si>
  <si>
    <t>Tri-City Medical Center</t>
  </si>
  <si>
    <t>UC San Diego Health Hillcrest</t>
  </si>
  <si>
    <t>UC San Diego Health La Jolla</t>
  </si>
  <si>
    <t>California Pacific Medical Center, Davies Campus Hospital</t>
  </si>
  <si>
    <t>San Francisco</t>
  </si>
  <si>
    <t>California Pacific Medical Center, Mission Bernal Campus</t>
  </si>
  <si>
    <t>California Pacific Medical Center, Van Ness Campus</t>
  </si>
  <si>
    <t>Chinese Hospital</t>
  </si>
  <si>
    <t>Kaiser Foundation Hospital, San Francisco</t>
  </si>
  <si>
    <t>Kentfield Hospital San Francisco</t>
  </si>
  <si>
    <t>Laguna Honda Hospital &amp; Rehabilitation Center</t>
  </si>
  <si>
    <t>Saint Francis Memorial Hospital</t>
  </si>
  <si>
    <t>St. Mary's Medical Center</t>
  </si>
  <si>
    <t>UCSF Medical Center</t>
  </si>
  <si>
    <t>UCSF Medical Center at Mission Bay</t>
  </si>
  <si>
    <t>UCSF Medical Center at Mount Zion</t>
  </si>
  <si>
    <t>Zuckerberg San Francisco General Hospital and Trauma Center</t>
  </si>
  <si>
    <t>Adventist Health Lodi Memorial</t>
  </si>
  <si>
    <t>San Joaquin</t>
  </si>
  <si>
    <t>Dameron Hospital Association</t>
  </si>
  <si>
    <t>Doctors Hospital of Manteca</t>
  </si>
  <si>
    <t>Kaiser Foundation Hospital, Manteca</t>
  </si>
  <si>
    <t>San Joaquin General Hospital</t>
  </si>
  <si>
    <t>St. Joseph's Medical Center Of Stockton</t>
  </si>
  <si>
    <t>Sutter Tracy Community Hospital</t>
  </si>
  <si>
    <t>French Hospital Medical Center</t>
  </si>
  <si>
    <t>San Luis Obispo</t>
  </si>
  <si>
    <t>Marian Regional Medical Center, Arroyo Grande</t>
  </si>
  <si>
    <t>Tenet Health Central Coast Sierra Vista Regional Medical Center</t>
  </si>
  <si>
    <t>Tenet Health Central Coast Twin Cities Community Hospital</t>
  </si>
  <si>
    <t>AHMC Seton Medical Center</t>
  </si>
  <si>
    <t>San Mateo</t>
  </si>
  <si>
    <t>Kaiser Foundation Hospital, Redwood City</t>
  </si>
  <si>
    <t>Kaiser Foundation Hospital, South San Francisco</t>
  </si>
  <si>
    <t>Mills-Peninsula Medical Center</t>
  </si>
  <si>
    <t>San Mateo Medical Center</t>
  </si>
  <si>
    <t>Sequoia Hospital</t>
  </si>
  <si>
    <t>Goleta Valley Cottage Hospital</t>
  </si>
  <si>
    <t>Santa Barbara</t>
  </si>
  <si>
    <t>Lompoc Valley Medical Center</t>
  </si>
  <si>
    <t>Marian Regional Medical Center</t>
  </si>
  <si>
    <t>Santa Barbara Cottage Hospital</t>
  </si>
  <si>
    <t>Santa Ynez Valley Cottage Hospital</t>
  </si>
  <si>
    <t>El Camino Health</t>
  </si>
  <si>
    <t>Santa Clara</t>
  </si>
  <si>
    <t>El Camino Health Los Gatos</t>
  </si>
  <si>
    <t>Good Samaritan Hospital, San Jose</t>
  </si>
  <si>
    <t>Kaiser Foundation Hospital, San Jose</t>
  </si>
  <si>
    <t>Kaiser Foundation Hospital, Santa Clara</t>
  </si>
  <si>
    <t>Lucile Packard Children's Hospital Stanford</t>
  </si>
  <si>
    <t>Mission Oaks Hospital</t>
  </si>
  <si>
    <t>O'Connor Hospital</t>
  </si>
  <si>
    <t>Regional Medical Center of San Jose</t>
  </si>
  <si>
    <t>Santa Clara Valley Medical Center</t>
  </si>
  <si>
    <t>St. Louise Regional Hospital</t>
  </si>
  <si>
    <t>Stanford Health Care</t>
  </si>
  <si>
    <t>Dominican Hospital</t>
  </si>
  <si>
    <t>Santa Cruz</t>
  </si>
  <si>
    <t>Sutter Maternity &amp; Surgery Center of Santa Cruz</t>
  </si>
  <si>
    <t>Watsonville Community Hospital</t>
  </si>
  <si>
    <t>Mayers Memorial Hospital</t>
  </si>
  <si>
    <t>Shasta</t>
  </si>
  <si>
    <t>Mercy Medical Center Redding</t>
  </si>
  <si>
    <t>Patients' Hospital of Redding</t>
  </si>
  <si>
    <t>Shasta Regional Medical Center</t>
  </si>
  <si>
    <t>Vibra Hospital of Northern California</t>
  </si>
  <si>
    <t>Fairchild Medical Center</t>
  </si>
  <si>
    <t>Siskiyou</t>
  </si>
  <si>
    <t>Mercy Medical Center Mt. Shasta</t>
  </si>
  <si>
    <t>Kaiser Foundation Hospital and Rehab Center, Vallejo</t>
  </si>
  <si>
    <t>Solano</t>
  </si>
  <si>
    <t>Kaiser Foundation Hospital, Vacaville</t>
  </si>
  <si>
    <t>Northbay Medical Center</t>
  </si>
  <si>
    <t>Northbay Vacavalley Hospital</t>
  </si>
  <si>
    <t>Sutter Solano Medical Center</t>
  </si>
  <si>
    <t>Healdsburg Hospital</t>
  </si>
  <si>
    <t>Sonoma</t>
  </si>
  <si>
    <t>Kaiser Foundation Hospital, Santa Rosa</t>
  </si>
  <si>
    <t>Petaluma Valley Hospital</t>
  </si>
  <si>
    <t>Providence Santa Rosa Memorial Hospital</t>
  </si>
  <si>
    <t>Sonoma Specialty Hospital</t>
  </si>
  <si>
    <t>Sonoma Valley Hospital</t>
  </si>
  <si>
    <t>Sutter Santa Rosa Regional Hospital</t>
  </si>
  <si>
    <t>Central Valley Specialty Hospital</t>
  </si>
  <si>
    <t>Stanislaus</t>
  </si>
  <si>
    <t>Doctors Medical Center</t>
  </si>
  <si>
    <t>Emanuel Medical Center</t>
  </si>
  <si>
    <t>Encompass Health Rehabilitation Hospital of Modesto</t>
  </si>
  <si>
    <t>Kaiser Foundation Hospital, Modesto</t>
  </si>
  <si>
    <t>Memorial Medical Center</t>
  </si>
  <si>
    <t>Oak Valley Hospital District</t>
  </si>
  <si>
    <t>Stanislaus Surgical Hospital</t>
  </si>
  <si>
    <t>Sutter Surgical Hospital, North Valley</t>
  </si>
  <si>
    <t>Sutter</t>
  </si>
  <si>
    <t>St. Elizabeth Community Hospital</t>
  </si>
  <si>
    <t>Tehama</t>
  </si>
  <si>
    <t>Trinity Hospital</t>
  </si>
  <si>
    <t>Trinity</t>
  </si>
  <si>
    <t>Adventist Health Tulare</t>
  </si>
  <si>
    <t>Tulare</t>
  </si>
  <si>
    <t>Kaweah Health Medical Center</t>
  </si>
  <si>
    <t>Kaweah Health Medical Center, Rehabilitation Unit</t>
  </si>
  <si>
    <t>Porterville Developmental Center</t>
  </si>
  <si>
    <t>Sierra View Medical Center</t>
  </si>
  <si>
    <t>Adventist Health Sonora</t>
  </si>
  <si>
    <t>Tuolumne</t>
  </si>
  <si>
    <t>Adventist Health Simi Valley</t>
  </si>
  <si>
    <t>Ventura</t>
  </si>
  <si>
    <t>Community Memorial Hospital, San Buenaventura</t>
  </si>
  <si>
    <t>Los Robles Hospital &amp; Medical Center</t>
  </si>
  <si>
    <t>Los Robles Hospital &amp; Medical Center, East Campus</t>
  </si>
  <si>
    <t>Ojai Valley Community Hospital</t>
  </si>
  <si>
    <t>St Johns Pleasant Valley Hospital</t>
  </si>
  <si>
    <t>St Johns Regional Medical Center</t>
  </si>
  <si>
    <t>Thousand Oaks Surgical Hospital</t>
  </si>
  <si>
    <t>Ventura County Medical Center</t>
  </si>
  <si>
    <t>Ventura County Medical Center, Santa Paula Hospital</t>
  </si>
  <si>
    <t>Sutter Davis Hospital</t>
  </si>
  <si>
    <t>Yolo</t>
  </si>
  <si>
    <t>Woodland Memorial Hospital</t>
  </si>
  <si>
    <t>Adventist Health and Rideout</t>
  </si>
  <si>
    <t>Yuba</t>
  </si>
  <si>
    <t>Hospital_Acquired_Infection (HAI)</t>
  </si>
  <si>
    <t>Row Labels</t>
  </si>
  <si>
    <t>Sum of Infections_Predicted</t>
  </si>
  <si>
    <t>Grand Total</t>
  </si>
  <si>
    <t>Sum of Infections_Reported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</si>
</sst>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8"/>
      <color theme="1"/>
      <name val="Calibri"/>
      <family val="2"/>
      <scheme val="minor"/>
    </font>
    <font>
      <sz val="11"/>
      <color rgb="FF92D050"/>
      <name val="Calibri"/>
      <family val="2"/>
      <scheme val="minor"/>
    </font>
    <font>
      <b/>
      <sz val="11"/>
      <color theme="0"/>
      <name val="Calibri"/>
      <family val="2"/>
      <scheme val="minor"/>
    </font>
  </fonts>
  <fills count="5">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theme="4"/>
        <bgColor indexed="64"/>
      </patternFill>
    </fill>
  </fills>
  <borders count="2">
    <border>
      <left/>
      <right/>
      <top/>
      <bottom/>
      <diagonal/>
    </border>
    <border>
      <left/>
      <right/>
      <top/>
      <bottom style="medium">
        <color indexed="64"/>
      </bottom>
      <diagonal/>
    </border>
  </borders>
  <cellStyleXfs count="1">
    <xf numFmtId="0" fontId="0" fillId="0" borderId="0"/>
  </cellStyleXfs>
  <cellXfs count="15">
    <xf numFmtId="0" fontId="0" fillId="0" borderId="0" xfId="0"/>
    <xf numFmtId="0" fontId="0" fillId="0" borderId="0" xfId="0" applyAlignment="1">
      <alignment horizontal="center"/>
    </xf>
    <xf numFmtId="0" fontId="1" fillId="0" borderId="0" xfId="0" applyFont="1"/>
    <xf numFmtId="0" fontId="0" fillId="2" borderId="0" xfId="0" applyFill="1"/>
    <xf numFmtId="0" fontId="3" fillId="2" borderId="0" xfId="0" applyFont="1" applyFill="1"/>
    <xf numFmtId="0" fontId="4" fillId="0" borderId="0" xfId="0" applyFont="1"/>
    <xf numFmtId="0" fontId="4" fillId="3" borderId="0" xfId="0" applyFont="1" applyFill="1"/>
    <xf numFmtId="0" fontId="0" fillId="0" borderId="0" xfId="0" applyAlignment="1">
      <alignment horizontal="left"/>
    </xf>
    <xf numFmtId="0" fontId="1" fillId="0" borderId="0" xfId="0" applyFont="1" applyAlignment="1">
      <alignment horizontal="center"/>
    </xf>
    <xf numFmtId="1" fontId="0" fillId="0" borderId="0" xfId="0" applyNumberFormat="1"/>
    <xf numFmtId="0" fontId="0" fillId="0" borderId="0" xfId="0" pivotButton="1"/>
    <xf numFmtId="0" fontId="0" fillId="0" borderId="0" xfId="0" applyAlignment="1">
      <alignment horizontal="left" indent="1"/>
    </xf>
    <xf numFmtId="0" fontId="0" fillId="0" borderId="1" xfId="0" applyBorder="1"/>
    <xf numFmtId="0" fontId="1" fillId="4" borderId="1" xfId="0" applyFont="1" applyFill="1" applyBorder="1"/>
    <xf numFmtId="0" fontId="1" fillId="4" borderId="0" xfId="0" applyFont="1" applyFill="1"/>
  </cellXfs>
  <cellStyles count="1">
    <cellStyle name="Normal" xfId="0" builtinId="0"/>
  </cellStyles>
  <dxfs count="22">
    <dxf>
      <numFmt numFmtId="1" formatCode="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rgb="FF000000"/>
          <bgColor auto="1"/>
        </patternFill>
      </fill>
    </dxf>
    <dxf>
      <font>
        <b/>
      </font>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rgb="FF000000"/>
          <bgColor auto="1"/>
        </patternFill>
      </fill>
    </dxf>
    <dxf>
      <font>
        <b/>
      </font>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ont>
        <b/>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Log and CLABSI data.xlsm]CLABSI Pivot Data!PivotTable6</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'CLABSI Pivot Data'!$B$3</c:f>
              <c:strCache>
                <c:ptCount val="1"/>
                <c:pt idx="0">
                  <c:v>Total</c:v>
                </c:pt>
              </c:strCache>
            </c:strRef>
          </c:tx>
          <c:spPr>
            <a:solidFill>
              <a:schemeClr val="accent1"/>
            </a:solidFill>
            <a:ln>
              <a:noFill/>
            </a:ln>
            <a:effectLst/>
          </c:spPr>
          <c:invertIfNegative val="0"/>
          <c:cat>
            <c:strRef>
              <c:f>'CLABSI Pivot Data'!$A$4:$A$403</c:f>
              <c:strCache>
                <c:ptCount val="399"/>
                <c:pt idx="0">
                  <c:v>Adventist Health and Rideout</c:v>
                </c:pt>
                <c:pt idx="1">
                  <c:v>Adventist Health Bakersfield</c:v>
                </c:pt>
                <c:pt idx="2">
                  <c:v>Adventist Health Clearlake</c:v>
                </c:pt>
                <c:pt idx="3">
                  <c:v>Adventist Health Delano</c:v>
                </c:pt>
                <c:pt idx="4">
                  <c:v>Adventist Health Glendale</c:v>
                </c:pt>
                <c:pt idx="5">
                  <c:v>Adventist Health Hanford</c:v>
                </c:pt>
                <c:pt idx="6">
                  <c:v>Adventist Health Howard Memorial</c:v>
                </c:pt>
                <c:pt idx="7">
                  <c:v>Adventist Health Lodi Memorial</c:v>
                </c:pt>
                <c:pt idx="8">
                  <c:v>Adventist Health Mendocino Coast</c:v>
                </c:pt>
                <c:pt idx="9">
                  <c:v>Adventist Health Reedley</c:v>
                </c:pt>
                <c:pt idx="10">
                  <c:v>Adventist Health Selma</c:v>
                </c:pt>
                <c:pt idx="11">
                  <c:v>Adventist Health Simi Valley</c:v>
                </c:pt>
                <c:pt idx="12">
                  <c:v>Adventist Health Sonora</c:v>
                </c:pt>
                <c:pt idx="13">
                  <c:v>Adventist Health St. Helena</c:v>
                </c:pt>
                <c:pt idx="14">
                  <c:v>Adventist Health Tehachapi Valley</c:v>
                </c:pt>
                <c:pt idx="15">
                  <c:v>Adventist Health Tulare</c:v>
                </c:pt>
                <c:pt idx="16">
                  <c:v>Adventist Health Ukiah Valley</c:v>
                </c:pt>
                <c:pt idx="17">
                  <c:v>Adventist Health White Memorial</c:v>
                </c:pt>
                <c:pt idx="18">
                  <c:v>AHMC Anaheim Regional Medical Center</c:v>
                </c:pt>
                <c:pt idx="19">
                  <c:v>AHMC Seton Medical Center</c:v>
                </c:pt>
                <c:pt idx="20">
                  <c:v>Alameda Hospital</c:v>
                </c:pt>
                <c:pt idx="21">
                  <c:v>Alhambra Hospital Medical Center</c:v>
                </c:pt>
                <c:pt idx="22">
                  <c:v>Alta Bates Summit Medical Center</c:v>
                </c:pt>
                <c:pt idx="23">
                  <c:v>Alta Bates Summit Medical Center, Alta Bates Campus</c:v>
                </c:pt>
                <c:pt idx="24">
                  <c:v>Alvarado Hospital Medical Center</c:v>
                </c:pt>
                <c:pt idx="25">
                  <c:v>Anaheim Global Medical Center</c:v>
                </c:pt>
                <c:pt idx="26">
                  <c:v>Antelope Valley Hospital</c:v>
                </c:pt>
                <c:pt idx="27">
                  <c:v>Arrowhead Regional Medical Center</c:v>
                </c:pt>
                <c:pt idx="28">
                  <c:v>Bakersfield Heart Hospital</c:v>
                </c:pt>
                <c:pt idx="29">
                  <c:v>Bakersfield Memorial Hospital</c:v>
                </c:pt>
                <c:pt idx="30">
                  <c:v>Ballard Rehabilitation Hospital</c:v>
                </c:pt>
                <c:pt idx="31">
                  <c:v>Banner Lassen Medical Center</c:v>
                </c:pt>
                <c:pt idx="32">
                  <c:v>Barlow Respiratory Hospital</c:v>
                </c:pt>
                <c:pt idx="33">
                  <c:v>Barstow Community Hospital</c:v>
                </c:pt>
                <c:pt idx="34">
                  <c:v>Barton Memorial Hospital</c:v>
                </c:pt>
                <c:pt idx="35">
                  <c:v>Bear Valley Community Hospital</c:v>
                </c:pt>
                <c:pt idx="36">
                  <c:v>Beverly Hospital</c:v>
                </c:pt>
                <c:pt idx="37">
                  <c:v>California Hospital Medical Center, Los Angeles</c:v>
                </c:pt>
                <c:pt idx="38">
                  <c:v>California Pacific Medical Center, Davies Campus Hospital</c:v>
                </c:pt>
                <c:pt idx="39">
                  <c:v>California Pacific Medical Center, Mission Bernal Campus</c:v>
                </c:pt>
                <c:pt idx="40">
                  <c:v>California Pacific Medical Center, Van Ness Campus</c:v>
                </c:pt>
                <c:pt idx="41">
                  <c:v>California Rehabilitation Institute</c:v>
                </c:pt>
                <c:pt idx="42">
                  <c:v>Casa Colina  Hospital</c:v>
                </c:pt>
                <c:pt idx="43">
                  <c:v>Casa Colina Hospital</c:v>
                </c:pt>
                <c:pt idx="44">
                  <c:v>Catalina Island Medical Center</c:v>
                </c:pt>
                <c:pt idx="45">
                  <c:v>Cedars-Sinai Marina Del Rey Hospital</c:v>
                </c:pt>
                <c:pt idx="46">
                  <c:v>Cedars-Sinai Medical Center</c:v>
                </c:pt>
                <c:pt idx="47">
                  <c:v>Centinela Hospital Medical Center</c:v>
                </c:pt>
                <c:pt idx="48">
                  <c:v>Central Valley Specialty Hospital</c:v>
                </c:pt>
                <c:pt idx="49">
                  <c:v>Chapman Global Medical Center</c:v>
                </c:pt>
                <c:pt idx="50">
                  <c:v>Children's Hospital at Mission</c:v>
                </c:pt>
                <c:pt idx="51">
                  <c:v>Children's Hospital Los Angeles</c:v>
                </c:pt>
                <c:pt idx="52">
                  <c:v>Children's Hospital of Orange County</c:v>
                </c:pt>
                <c:pt idx="53">
                  <c:v>Chinese Hospital</c:v>
                </c:pt>
                <c:pt idx="54">
                  <c:v>Chino Valley Medical Center</c:v>
                </c:pt>
                <c:pt idx="55">
                  <c:v>City of Hope Helford Clinical Research Hospital</c:v>
                </c:pt>
                <c:pt idx="56">
                  <c:v>Clovis Community Medical Center</c:v>
                </c:pt>
                <c:pt idx="57">
                  <c:v>Coalinga Regional Medical Center</c:v>
                </c:pt>
                <c:pt idx="58">
                  <c:v>Coast Plaza Hospital</c:v>
                </c:pt>
                <c:pt idx="59">
                  <c:v>College Hospital Costa Mesa</c:v>
                </c:pt>
                <c:pt idx="60">
                  <c:v>College Medical Center</c:v>
                </c:pt>
                <c:pt idx="61">
                  <c:v>Colorado River Medical Center</c:v>
                </c:pt>
                <c:pt idx="62">
                  <c:v>Colusa Medical Center</c:v>
                </c:pt>
                <c:pt idx="63">
                  <c:v>Community Hospital of Huntington Park</c:v>
                </c:pt>
                <c:pt idx="64">
                  <c:v>Community Hospital of San Bernardino</c:v>
                </c:pt>
                <c:pt idx="65">
                  <c:v>Community Hospital of The Monterey Peninsula</c:v>
                </c:pt>
                <c:pt idx="66">
                  <c:v>Community Memorial Hospital, San Buenaventura</c:v>
                </c:pt>
                <c:pt idx="67">
                  <c:v>Community Regional Medical Center</c:v>
                </c:pt>
                <c:pt idx="68">
                  <c:v>Contra Costa Regional Medical Center</c:v>
                </c:pt>
                <c:pt idx="69">
                  <c:v>Corona Regional Medical Center</c:v>
                </c:pt>
                <c:pt idx="70">
                  <c:v>Dameron Hospital Association</c:v>
                </c:pt>
                <c:pt idx="71">
                  <c:v>Desert Regional Medical Center</c:v>
                </c:pt>
                <c:pt idx="72">
                  <c:v>Desert Valley Hospital</c:v>
                </c:pt>
                <c:pt idx="73">
                  <c:v>DOCS Surgical Hospital</c:v>
                </c:pt>
                <c:pt idx="74">
                  <c:v>Doctors Hospital of Manteca</c:v>
                </c:pt>
                <c:pt idx="75">
                  <c:v>Doctors Hospital of Riverside</c:v>
                </c:pt>
                <c:pt idx="76">
                  <c:v>Doctors Medical Center</c:v>
                </c:pt>
                <c:pt idx="77">
                  <c:v>Dominican Hospital</c:v>
                </c:pt>
                <c:pt idx="78">
                  <c:v>East Los Angeles Doctors Hospital</c:v>
                </c:pt>
                <c:pt idx="79">
                  <c:v>Eastern Plumas Hospital, Portola Campus</c:v>
                </c:pt>
                <c:pt idx="80">
                  <c:v>Eden Medical Center</c:v>
                </c:pt>
                <c:pt idx="81">
                  <c:v>Eisenhower Medical Center</c:v>
                </c:pt>
                <c:pt idx="82">
                  <c:v>El Camino Health</c:v>
                </c:pt>
                <c:pt idx="83">
                  <c:v>El Camino Health Los Gatos</c:v>
                </c:pt>
                <c:pt idx="84">
                  <c:v>El Centro Regional Medical Center</c:v>
                </c:pt>
                <c:pt idx="85">
                  <c:v>Emanate Health Foothill Presbyterian Hospital</c:v>
                </c:pt>
                <c:pt idx="86">
                  <c:v>Emanate Health Inter-Community Hospital</c:v>
                </c:pt>
                <c:pt idx="87">
                  <c:v>Emanate Health Queen of the Valley Hospital</c:v>
                </c:pt>
                <c:pt idx="88">
                  <c:v>Emanuel Medical Center</c:v>
                </c:pt>
                <c:pt idx="89">
                  <c:v>Encino Hospital Medical Center</c:v>
                </c:pt>
                <c:pt idx="90">
                  <c:v>Encompass Health Rehabilitation Hospital of Bakersfield</c:v>
                </c:pt>
                <c:pt idx="91">
                  <c:v>Encompass Health Rehabilitation Hospital of Modesto</c:v>
                </c:pt>
                <c:pt idx="92">
                  <c:v>Encompass Health Rehabilitation Hospital of Murrieta</c:v>
                </c:pt>
                <c:pt idx="93">
                  <c:v>Encompass Health Rehabilitation Hospital of Tustin</c:v>
                </c:pt>
                <c:pt idx="94">
                  <c:v>Enloe Medical Center, Esplanade</c:v>
                </c:pt>
                <c:pt idx="95">
                  <c:v>Enloe Rehabilitation Center</c:v>
                </c:pt>
                <c:pt idx="96">
                  <c:v>Fairchild Medical Center</c:v>
                </c:pt>
                <c:pt idx="97">
                  <c:v>Foothill Regional Medical Center</c:v>
                </c:pt>
                <c:pt idx="98">
                  <c:v>Fountain Valley Regional Hospital and Medical Center</c:v>
                </c:pt>
                <c:pt idx="99">
                  <c:v>French Hospital Medical Center</c:v>
                </c:pt>
                <c:pt idx="100">
                  <c:v>Fresno Heart and Surgical Hospital</c:v>
                </c:pt>
                <c:pt idx="101">
                  <c:v>Fresno Surgical Hospital</c:v>
                </c:pt>
                <c:pt idx="102">
                  <c:v>Garden Grove Hospital and Medical Center</c:v>
                </c:pt>
                <c:pt idx="103">
                  <c:v>Garfield Medical Center</c:v>
                </c:pt>
                <c:pt idx="104">
                  <c:v>George L. Mee Memorial Hospital</c:v>
                </c:pt>
                <c:pt idx="105">
                  <c:v>Glendale Memorial Hospital and Health Center</c:v>
                </c:pt>
                <c:pt idx="106">
                  <c:v>Glenn Medical Center</c:v>
                </c:pt>
                <c:pt idx="107">
                  <c:v>Goleta Valley Cottage Hospital</c:v>
                </c:pt>
                <c:pt idx="108">
                  <c:v>Good Samaritan Hospital, Bakersfield</c:v>
                </c:pt>
                <c:pt idx="109">
                  <c:v>Good Samaritan Hospital, Los Angeles</c:v>
                </c:pt>
                <c:pt idx="110">
                  <c:v>Good Samaritan Hospital, San Jose</c:v>
                </c:pt>
                <c:pt idx="111">
                  <c:v>Greater El Monte Community Hospital</c:v>
                </c:pt>
                <c:pt idx="112">
                  <c:v>Grossmont Hospital</c:v>
                </c:pt>
                <c:pt idx="113">
                  <c:v>Hazel Hawkins Memorial Hospital</c:v>
                </c:pt>
                <c:pt idx="114">
                  <c:v>Healdsburg Hospital</c:v>
                </c:pt>
                <c:pt idx="115">
                  <c:v>Healthbridge Children's Hospital, Orange</c:v>
                </c:pt>
                <c:pt idx="116">
                  <c:v>Hemet Global Medical Center</c:v>
                </c:pt>
                <c:pt idx="117">
                  <c:v>Henry Mayo Newhall Hospital</c:v>
                </c:pt>
                <c:pt idx="118">
                  <c:v>Hi-Desert Medical Center</c:v>
                </c:pt>
                <c:pt idx="119">
                  <c:v>Highland Hospital</c:v>
                </c:pt>
                <c:pt idx="120">
                  <c:v>Hoag Hospital Irvine</c:v>
                </c:pt>
                <c:pt idx="121">
                  <c:v>Hoag Memorial Hospital Presbyterian</c:v>
                </c:pt>
                <c:pt idx="122">
                  <c:v>Hoag Orthopedic Institute</c:v>
                </c:pt>
                <c:pt idx="123">
                  <c:v>Hollywood Presbyterian Medical Center</c:v>
                </c:pt>
                <c:pt idx="124">
                  <c:v>Huntington Beach Hospital</c:v>
                </c:pt>
                <c:pt idx="125">
                  <c:v>Huntington Hospital</c:v>
                </c:pt>
                <c:pt idx="126">
                  <c:v>Jerold Phelps Community Hospital</c:v>
                </c:pt>
                <c:pt idx="127">
                  <c:v>John C. Fremont Healthcare District</c:v>
                </c:pt>
                <c:pt idx="128">
                  <c:v>John F. Kennedy Memorial Hospital</c:v>
                </c:pt>
                <c:pt idx="129">
                  <c:v>John Muir Medical Center, Concord Campus</c:v>
                </c:pt>
                <c:pt idx="130">
                  <c:v>John Muir Medical Center, Walnut Creek Campus</c:v>
                </c:pt>
                <c:pt idx="131">
                  <c:v>Kaiser Foundation Hospital and Rehab Center, Vallejo</c:v>
                </c:pt>
                <c:pt idx="132">
                  <c:v>Kaiser Foundation Hospital, Antioch</c:v>
                </c:pt>
                <c:pt idx="133">
                  <c:v>Kaiser Foundation Hospital, Baldwin Park</c:v>
                </c:pt>
                <c:pt idx="134">
                  <c:v>Kaiser Foundation Hospital, Downey</c:v>
                </c:pt>
                <c:pt idx="135">
                  <c:v>Kaiser Foundation Hospital, Fontana</c:v>
                </c:pt>
                <c:pt idx="136">
                  <c:v>Kaiser Foundation Hospital, Fremont</c:v>
                </c:pt>
                <c:pt idx="137">
                  <c:v>Kaiser Foundation Hospital, Fresno</c:v>
                </c:pt>
                <c:pt idx="138">
                  <c:v>Kaiser Foundation Hospital, Los Angeles</c:v>
                </c:pt>
                <c:pt idx="139">
                  <c:v>Kaiser Foundation Hospital, Manteca</c:v>
                </c:pt>
                <c:pt idx="140">
                  <c:v>Kaiser Foundation Hospital, Modesto</c:v>
                </c:pt>
                <c:pt idx="141">
                  <c:v>Kaiser Foundation Hospital, Moreno Valley</c:v>
                </c:pt>
                <c:pt idx="142">
                  <c:v>Kaiser Foundation Hospital, Oakland/Richmond</c:v>
                </c:pt>
                <c:pt idx="143">
                  <c:v>Kaiser Foundation Hospital, Ontario</c:v>
                </c:pt>
                <c:pt idx="144">
                  <c:v>Kaiser Foundation Hospital, Orange County, Anaheim</c:v>
                </c:pt>
                <c:pt idx="145">
                  <c:v>Kaiser Foundation Hospital, Orange County, Irvine</c:v>
                </c:pt>
                <c:pt idx="146">
                  <c:v>Kaiser Foundation Hospital, Panorama City</c:v>
                </c:pt>
                <c:pt idx="147">
                  <c:v>Kaiser Foundation Hospital, Redwood City</c:v>
                </c:pt>
                <c:pt idx="148">
                  <c:v>Kaiser Foundation Hospital, Richmond Campus</c:v>
                </c:pt>
                <c:pt idx="149">
                  <c:v>Kaiser Foundation Hospital, Riverside</c:v>
                </c:pt>
                <c:pt idx="150">
                  <c:v>Kaiser Foundation Hospital, Roseville</c:v>
                </c:pt>
                <c:pt idx="151">
                  <c:v>Kaiser Foundation Hospital, Sacramento</c:v>
                </c:pt>
                <c:pt idx="152">
                  <c:v>Kaiser Foundation Hospital, San Diego</c:v>
                </c:pt>
                <c:pt idx="153">
                  <c:v>Kaiser Foundation Hospital, San Francisco</c:v>
                </c:pt>
                <c:pt idx="154">
                  <c:v>Kaiser Foundation Hospital, San Jose</c:v>
                </c:pt>
                <c:pt idx="155">
                  <c:v>Kaiser Foundation Hospital, San Leandro</c:v>
                </c:pt>
                <c:pt idx="156">
                  <c:v>Kaiser Foundation Hospital, San Rafael</c:v>
                </c:pt>
                <c:pt idx="157">
                  <c:v>Kaiser Foundation Hospital, Santa Clara</c:v>
                </c:pt>
                <c:pt idx="158">
                  <c:v>Kaiser Foundation Hospital, Santa Rosa</c:v>
                </c:pt>
                <c:pt idx="159">
                  <c:v>Kaiser Foundation Hospital, South Bay</c:v>
                </c:pt>
                <c:pt idx="160">
                  <c:v>Kaiser Foundation Hospital, South Sacramento</c:v>
                </c:pt>
                <c:pt idx="161">
                  <c:v>Kaiser Foundation Hospital, South San Francisco</c:v>
                </c:pt>
                <c:pt idx="162">
                  <c:v>Kaiser Foundation Hospital, Vacaville</c:v>
                </c:pt>
                <c:pt idx="163">
                  <c:v>Kaiser Foundation Hospital, Walnut Creek</c:v>
                </c:pt>
                <c:pt idx="164">
                  <c:v>Kaiser Foundation Hospital, West LA</c:v>
                </c:pt>
                <c:pt idx="165">
                  <c:v>Kaiser Foundation Hospital, Woodland Hills</c:v>
                </c:pt>
                <c:pt idx="166">
                  <c:v>Kaiser Foundation Hospital, Zion</c:v>
                </c:pt>
                <c:pt idx="167">
                  <c:v>Kaweah Health Medical Center</c:v>
                </c:pt>
                <c:pt idx="168">
                  <c:v>Kaweah Health Medical Center, Rehabilitation Unit</c:v>
                </c:pt>
                <c:pt idx="169">
                  <c:v>Keck Hospital of USC</c:v>
                </c:pt>
                <c:pt idx="170">
                  <c:v>Kentfield Hospital</c:v>
                </c:pt>
                <c:pt idx="171">
                  <c:v>Kentfield Hospital San Francisco</c:v>
                </c:pt>
                <c:pt idx="172">
                  <c:v>Kern Medical Center</c:v>
                </c:pt>
                <c:pt idx="173">
                  <c:v>Kern Valley Healthcare District</c:v>
                </c:pt>
                <c:pt idx="174">
                  <c:v>Kindred Hospital Paramount</c:v>
                </c:pt>
                <c:pt idx="175">
                  <c:v>Kindred Hospital, Baldwin Park</c:v>
                </c:pt>
                <c:pt idx="176">
                  <c:v>Kindred Hospital, Brea</c:v>
                </c:pt>
                <c:pt idx="177">
                  <c:v>Kindred Hospital, La Mirada</c:v>
                </c:pt>
                <c:pt idx="178">
                  <c:v>Kindred Hospital, Los Angeles</c:v>
                </c:pt>
                <c:pt idx="179">
                  <c:v>Kindred Hospital, Ontario</c:v>
                </c:pt>
                <c:pt idx="180">
                  <c:v>Kindred Hospital, Rancho</c:v>
                </c:pt>
                <c:pt idx="181">
                  <c:v>Kindred Hospital, Riverside</c:v>
                </c:pt>
                <c:pt idx="182">
                  <c:v>Kindred Hospital, San Diego</c:v>
                </c:pt>
                <c:pt idx="183">
                  <c:v>Kindred Hospital, San Francisco Bay Area</c:v>
                </c:pt>
                <c:pt idx="184">
                  <c:v>Kindred Hospital, San Gabriel Valley</c:v>
                </c:pt>
                <c:pt idx="185">
                  <c:v>Kindred Hospital, Santa Ana</c:v>
                </c:pt>
                <c:pt idx="186">
                  <c:v>Kindred Hospital, South Bay</c:v>
                </c:pt>
                <c:pt idx="187">
                  <c:v>Kindred Hospital, Westminster</c:v>
                </c:pt>
                <c:pt idx="188">
                  <c:v>L.A. Downtown Medical Center</c:v>
                </c:pt>
                <c:pt idx="189">
                  <c:v>La Palma Intercommunity Hospital</c:v>
                </c:pt>
                <c:pt idx="190">
                  <c:v>LAC/Harbor UCLA Medical Center</c:v>
                </c:pt>
                <c:pt idx="191">
                  <c:v>LAC/Olive View-UCLA Medical Center</c:v>
                </c:pt>
                <c:pt idx="192">
                  <c:v>LAC/Rancho Los Amigos National Rehabilitation Center</c:v>
                </c:pt>
                <c:pt idx="193">
                  <c:v>LAC+USC Medical Center</c:v>
                </c:pt>
                <c:pt idx="194">
                  <c:v>Laguna Honda Hospital &amp; Rehabilitation Center</c:v>
                </c:pt>
                <c:pt idx="195">
                  <c:v>Lakewood Regional Medical Center</c:v>
                </c:pt>
                <c:pt idx="196">
                  <c:v>Loma Linda University Children's Hospital</c:v>
                </c:pt>
                <c:pt idx="197">
                  <c:v>Loma Linda University Medical Center</c:v>
                </c:pt>
                <c:pt idx="198">
                  <c:v>Loma Linda University Medical Center East Campus Hospital</c:v>
                </c:pt>
                <c:pt idx="199">
                  <c:v>Loma Linda University Medical Center, Murrieta</c:v>
                </c:pt>
                <c:pt idx="200">
                  <c:v>Loma Linda University Surgical Hospital</c:v>
                </c:pt>
                <c:pt idx="201">
                  <c:v>Lompoc Valley Medical Center</c:v>
                </c:pt>
                <c:pt idx="202">
                  <c:v>Los Alamitos Medical Center</c:v>
                </c:pt>
                <c:pt idx="203">
                  <c:v>Los Angeles Community Hospital</c:v>
                </c:pt>
                <c:pt idx="204">
                  <c:v>Los Robles Hospital &amp; Medical Center</c:v>
                </c:pt>
                <c:pt idx="205">
                  <c:v>Los Robles Hospital &amp; Medical Center, East Campus</c:v>
                </c:pt>
                <c:pt idx="206">
                  <c:v>Lucile Packard Children's Hospital Stanford</c:v>
                </c:pt>
                <c:pt idx="207">
                  <c:v>Mad River Community Hospital</c:v>
                </c:pt>
                <c:pt idx="208">
                  <c:v>Madera Community Hospital</c:v>
                </c:pt>
                <c:pt idx="209">
                  <c:v>Mammoth Hospital</c:v>
                </c:pt>
                <c:pt idx="210">
                  <c:v>Marian Regional Medical Center</c:v>
                </c:pt>
                <c:pt idx="211">
                  <c:v>Marian Regional Medical Center, Arroyo Grande</c:v>
                </c:pt>
                <c:pt idx="212">
                  <c:v>MarinHealth Medical Center</c:v>
                </c:pt>
                <c:pt idx="213">
                  <c:v>Mark Twain Medical Center</c:v>
                </c:pt>
                <c:pt idx="214">
                  <c:v>Marshall Medical Center</c:v>
                </c:pt>
                <c:pt idx="215">
                  <c:v>Martin Luther King Jr. Community Hospital</c:v>
                </c:pt>
                <c:pt idx="216">
                  <c:v>Mayers Memorial Hospital</c:v>
                </c:pt>
                <c:pt idx="217">
                  <c:v>Memorial Hospital Los Banos</c:v>
                </c:pt>
                <c:pt idx="218">
                  <c:v>Memorial Hospital of Gardena</c:v>
                </c:pt>
                <c:pt idx="219">
                  <c:v>Memorial Medical Center</c:v>
                </c:pt>
                <c:pt idx="220">
                  <c:v>MemorialCare Long Beach Medical Center</c:v>
                </c:pt>
                <c:pt idx="221">
                  <c:v>MemorialCare Miller Children's &amp; Women's Hospital Long Beach</c:v>
                </c:pt>
                <c:pt idx="222">
                  <c:v>MemorialCare Orange Coast Medical Center</c:v>
                </c:pt>
                <c:pt idx="223">
                  <c:v>MemorialCare Saddleback Medical Center</c:v>
                </c:pt>
                <c:pt idx="224">
                  <c:v>Menifee Global Medical Center</c:v>
                </c:pt>
                <c:pt idx="225">
                  <c:v>Mercy General Hospital</c:v>
                </c:pt>
                <c:pt idx="226">
                  <c:v>Mercy Hospital</c:v>
                </c:pt>
                <c:pt idx="227">
                  <c:v>Mercy Hospital of Folsom</c:v>
                </c:pt>
                <c:pt idx="228">
                  <c:v>Mercy Medical Center</c:v>
                </c:pt>
                <c:pt idx="229">
                  <c:v>Mercy Medical Center Mt. Shasta</c:v>
                </c:pt>
                <c:pt idx="230">
                  <c:v>Mercy Medical Center Redding</c:v>
                </c:pt>
                <c:pt idx="231">
                  <c:v>Mercy San Juan Medical Center</c:v>
                </c:pt>
                <c:pt idx="232">
                  <c:v>Mercy Southwest Hospital</c:v>
                </c:pt>
                <c:pt idx="233">
                  <c:v>Methodist Hospital of Sacramento</c:v>
                </c:pt>
                <c:pt idx="234">
                  <c:v>Methodist Hospital of Southern California</c:v>
                </c:pt>
                <c:pt idx="235">
                  <c:v>Mills-Peninsula Medical Center</c:v>
                </c:pt>
                <c:pt idx="236">
                  <c:v>Mission Community Hospital</c:v>
                </c:pt>
                <c:pt idx="237">
                  <c:v>Mission Oaks Hospital</c:v>
                </c:pt>
                <c:pt idx="238">
                  <c:v>Modoc Medical Center</c:v>
                </c:pt>
                <c:pt idx="239">
                  <c:v>Monrovia Memorial Hospital</c:v>
                </c:pt>
                <c:pt idx="240">
                  <c:v>Montclair Hospital Medical Center</c:v>
                </c:pt>
                <c:pt idx="241">
                  <c:v>Monterey Park Hospital</c:v>
                </c:pt>
                <c:pt idx="242">
                  <c:v>Mountains Community Hospital</c:v>
                </c:pt>
                <c:pt idx="243">
                  <c:v>Natividad Medical Center</c:v>
                </c:pt>
                <c:pt idx="244">
                  <c:v>Northbay Medical Center</c:v>
                </c:pt>
                <c:pt idx="245">
                  <c:v>Northbay Vacavalley Hospital</c:v>
                </c:pt>
                <c:pt idx="246">
                  <c:v>Northern Inyo Hospital</c:v>
                </c:pt>
                <c:pt idx="247">
                  <c:v>Northridge Hospital Medical Center</c:v>
                </c:pt>
                <c:pt idx="248">
                  <c:v>Norwalk Community Hospital</c:v>
                </c:pt>
                <c:pt idx="249">
                  <c:v>Novato Community Hospital</c:v>
                </c:pt>
                <c:pt idx="250">
                  <c:v>Oak Valley Hospital District</c:v>
                </c:pt>
                <c:pt idx="251">
                  <c:v>O'Connor Hospital</c:v>
                </c:pt>
                <c:pt idx="252">
                  <c:v>Ojai Valley Community Hospital</c:v>
                </c:pt>
                <c:pt idx="253">
                  <c:v>Olympia Medical Center</c:v>
                </c:pt>
                <c:pt idx="254">
                  <c:v>Orange County Global Medical Center</c:v>
                </c:pt>
                <c:pt idx="255">
                  <c:v>Orchard Hospital</c:v>
                </c:pt>
                <c:pt idx="256">
                  <c:v>Oroville Hospital</c:v>
                </c:pt>
                <c:pt idx="257">
                  <c:v>Pacific Gardens Medical Center</c:v>
                </c:pt>
                <c:pt idx="258">
                  <c:v>Pacifica Hospital of the Valley</c:v>
                </c:pt>
                <c:pt idx="259">
                  <c:v>Palmdale Regional Medical Center</c:v>
                </c:pt>
                <c:pt idx="260">
                  <c:v>Palo Verde Hospital</c:v>
                </c:pt>
                <c:pt idx="261">
                  <c:v>Palomar Medical Center</c:v>
                </c:pt>
                <c:pt idx="262">
                  <c:v>Palomar Medical Center Poway</c:v>
                </c:pt>
                <c:pt idx="263">
                  <c:v>Paradise Valley Hospital</c:v>
                </c:pt>
                <c:pt idx="264">
                  <c:v>Patients' Hospital of Redding</c:v>
                </c:pt>
                <c:pt idx="265">
                  <c:v>Petaluma Valley Hospital</c:v>
                </c:pt>
                <c:pt idx="266">
                  <c:v>PIH Health Hospital, Downey</c:v>
                </c:pt>
                <c:pt idx="267">
                  <c:v>PIH Health Hospital, Whittier</c:v>
                </c:pt>
                <c:pt idx="268">
                  <c:v>Pioneers Memorial Healthcare District</c:v>
                </c:pt>
                <c:pt idx="269">
                  <c:v>Placentia Linda Hospital</c:v>
                </c:pt>
                <c:pt idx="270">
                  <c:v>Plumas District Hospital</c:v>
                </c:pt>
                <c:pt idx="271">
                  <c:v>Pomona Valley Hospital Medical Center</c:v>
                </c:pt>
                <c:pt idx="272">
                  <c:v>Porterville Developmental Center</c:v>
                </c:pt>
                <c:pt idx="273">
                  <c:v>Providence Cedars-Sinai Tarzana Medical Center</c:v>
                </c:pt>
                <c:pt idx="274">
                  <c:v>Providence Holy Cross Medical Center</c:v>
                </c:pt>
                <c:pt idx="275">
                  <c:v>Providence Little Company of Mary Medical Center San Pedro</c:v>
                </c:pt>
                <c:pt idx="276">
                  <c:v>Providence Little Company of Mary Medical Center Torrance</c:v>
                </c:pt>
                <c:pt idx="277">
                  <c:v>Providence Mission Hospital</c:v>
                </c:pt>
                <c:pt idx="278">
                  <c:v>Providence Mission Hospital - Laguna Beach</c:v>
                </c:pt>
                <c:pt idx="279">
                  <c:v>Providence Queen of the Valley Medical Center</c:v>
                </c:pt>
                <c:pt idx="280">
                  <c:v>Providence Redwood Memorial Hospital</c:v>
                </c:pt>
                <c:pt idx="281">
                  <c:v>Providence Saint John's Health Center</c:v>
                </c:pt>
                <c:pt idx="282">
                  <c:v>Providence Saint Joseph Medical Center</c:v>
                </c:pt>
                <c:pt idx="283">
                  <c:v>Providence Santa Rosa Memorial Hospital</c:v>
                </c:pt>
                <c:pt idx="284">
                  <c:v>Providence St. Joseph Hospital, Eureka</c:v>
                </c:pt>
                <c:pt idx="285">
                  <c:v>Providence St. Joseph Hospital, Orange</c:v>
                </c:pt>
                <c:pt idx="286">
                  <c:v>Providence St. Jude Medical Center</c:v>
                </c:pt>
                <c:pt idx="287">
                  <c:v>Providence St. Mary Medical Center, Apple Valley</c:v>
                </c:pt>
                <c:pt idx="288">
                  <c:v>Rady Children's Hospital, San Diego</c:v>
                </c:pt>
                <c:pt idx="289">
                  <c:v>Redlands Community Hospital</c:v>
                </c:pt>
                <c:pt idx="290">
                  <c:v>Regional Medical Center of San Jose</c:v>
                </c:pt>
                <c:pt idx="291">
                  <c:v>Ridgecrest Regional Hospital</c:v>
                </c:pt>
                <c:pt idx="292">
                  <c:v>Riverside Community Hospital</c:v>
                </c:pt>
                <c:pt idx="293">
                  <c:v>Riverside University Health System - Medical Center</c:v>
                </c:pt>
                <c:pt idx="294">
                  <c:v>Ronald Reagan UCLA Medical Center</c:v>
                </c:pt>
                <c:pt idx="295">
                  <c:v>Saint Agnes Medical Center</c:v>
                </c:pt>
                <c:pt idx="296">
                  <c:v>Saint Francis Memorial Hospital</c:v>
                </c:pt>
                <c:pt idx="297">
                  <c:v>Salinas Valley Memorial Hospital</c:v>
                </c:pt>
                <c:pt idx="298">
                  <c:v>San Antonio Regional Hospital</c:v>
                </c:pt>
                <c:pt idx="299">
                  <c:v>San Dimas Community Hospital</c:v>
                </c:pt>
                <c:pt idx="300">
                  <c:v>San Gabriel Valley Medical Center</c:v>
                </c:pt>
                <c:pt idx="301">
                  <c:v>San Gorgonio Memorial Hospital</c:v>
                </c:pt>
                <c:pt idx="302">
                  <c:v>San Joaquin General Hospital</c:v>
                </c:pt>
                <c:pt idx="303">
                  <c:v>San Joaquin Valley Rehabilitation Hospital</c:v>
                </c:pt>
                <c:pt idx="304">
                  <c:v>San Leandro Hospital</c:v>
                </c:pt>
                <c:pt idx="305">
                  <c:v>San Mateo Medical Center</c:v>
                </c:pt>
                <c:pt idx="306">
                  <c:v>San Ramon Regional Medical Center</c:v>
                </c:pt>
                <c:pt idx="307">
                  <c:v>Santa Barbara Cottage Hospital</c:v>
                </c:pt>
                <c:pt idx="308">
                  <c:v>Santa Clara Valley Medical Center</c:v>
                </c:pt>
                <c:pt idx="309">
                  <c:v>Santa Monica - UCLA Medical Center and Orthopaedic Hospital</c:v>
                </c:pt>
                <c:pt idx="310">
                  <c:v>Santa Ynez Valley Cottage Hospital</c:v>
                </c:pt>
                <c:pt idx="311">
                  <c:v>Scripps Green Hospital</c:v>
                </c:pt>
                <c:pt idx="312">
                  <c:v>Scripps Memorial Hospital, Encinitas</c:v>
                </c:pt>
                <c:pt idx="313">
                  <c:v>Scripps Memorial Hospital, La Jolla</c:v>
                </c:pt>
                <c:pt idx="314">
                  <c:v>Scripps Mercy Hospital</c:v>
                </c:pt>
                <c:pt idx="315">
                  <c:v>Scripps Mercy Hospital Chula Vista</c:v>
                </c:pt>
                <c:pt idx="316">
                  <c:v>Select Specialty Hospital - San Diego</c:v>
                </c:pt>
                <c:pt idx="317">
                  <c:v>Seneca District Hospital</c:v>
                </c:pt>
                <c:pt idx="318">
                  <c:v>Sequoia Hospital</c:v>
                </c:pt>
                <c:pt idx="319">
                  <c:v>Sharp Chula Vista Medical Center</c:v>
                </c:pt>
                <c:pt idx="320">
                  <c:v>Sharp Coronado Hospital and Healthcare Center</c:v>
                </c:pt>
                <c:pt idx="321">
                  <c:v>Sharp Mary Birch Hospital For Women And Newborns</c:v>
                </c:pt>
                <c:pt idx="322">
                  <c:v>Sharp Memorial Hospital</c:v>
                </c:pt>
                <c:pt idx="323">
                  <c:v>Shasta Regional Medical Center</c:v>
                </c:pt>
                <c:pt idx="324">
                  <c:v>Sherman Oaks Hospital</c:v>
                </c:pt>
                <c:pt idx="325">
                  <c:v>Shriners Hospitals for Children Northern California</c:v>
                </c:pt>
                <c:pt idx="326">
                  <c:v>Sierra Nevada Memorial Hospital</c:v>
                </c:pt>
                <c:pt idx="327">
                  <c:v>Sierra View Medical Center</c:v>
                </c:pt>
                <c:pt idx="328">
                  <c:v>Sonoma Specialty Hospital</c:v>
                </c:pt>
                <c:pt idx="329">
                  <c:v>Sonoma Valley Hospital</c:v>
                </c:pt>
                <c:pt idx="330">
                  <c:v>South Coast Global Medical Center</c:v>
                </c:pt>
                <c:pt idx="331">
                  <c:v>Southern California Hospital at Culver City</c:v>
                </c:pt>
                <c:pt idx="332">
                  <c:v>Southern California Hospital at Hollywood</c:v>
                </c:pt>
                <c:pt idx="333">
                  <c:v>Southern Inyo Hospital</c:v>
                </c:pt>
                <c:pt idx="334">
                  <c:v>Southwest Healthcare System, Murrieta</c:v>
                </c:pt>
                <c:pt idx="335">
                  <c:v>Southwest Healthcare System, Wildomar</c:v>
                </c:pt>
                <c:pt idx="336">
                  <c:v>St Johns Pleasant Valley Hospital</c:v>
                </c:pt>
                <c:pt idx="337">
                  <c:v>St Johns Regional Medical Center</c:v>
                </c:pt>
                <c:pt idx="338">
                  <c:v>St Rose Hospital</c:v>
                </c:pt>
                <c:pt idx="339">
                  <c:v>St. Bernardine Medical Center</c:v>
                </c:pt>
                <c:pt idx="340">
                  <c:v>St. Elizabeth Community Hospital</c:v>
                </c:pt>
                <c:pt idx="341">
                  <c:v>St. Francis Medical Center</c:v>
                </c:pt>
                <c:pt idx="342">
                  <c:v>St. Joseph's Medical Center Of Stockton</c:v>
                </c:pt>
                <c:pt idx="343">
                  <c:v>St. Louise Regional Hospital</c:v>
                </c:pt>
                <c:pt idx="344">
                  <c:v>St. Mary Medical Center, Long Beach</c:v>
                </c:pt>
                <c:pt idx="345">
                  <c:v>St. Mary's Medical Center</c:v>
                </c:pt>
                <c:pt idx="346">
                  <c:v>Stanford Health Care</c:v>
                </c:pt>
                <c:pt idx="347">
                  <c:v>Stanford Health Care - ValleyCare</c:v>
                </c:pt>
                <c:pt idx="348">
                  <c:v>Stanislaus Surgical Hospital</c:v>
                </c:pt>
                <c:pt idx="349">
                  <c:v>Surprise Valley Community Hospital</c:v>
                </c:pt>
                <c:pt idx="350">
                  <c:v>Sutter Amador Hospital</c:v>
                </c:pt>
                <c:pt idx="351">
                  <c:v>Sutter Auburn Faith Hospital</c:v>
                </c:pt>
                <c:pt idx="352">
                  <c:v>Sutter Coast Hospital</c:v>
                </c:pt>
                <c:pt idx="353">
                  <c:v>Sutter Davis Hospital</c:v>
                </c:pt>
                <c:pt idx="354">
                  <c:v>Sutter Delta Medical Center</c:v>
                </c:pt>
                <c:pt idx="355">
                  <c:v>Sutter Lakeside Hospital</c:v>
                </c:pt>
                <c:pt idx="356">
                  <c:v>Sutter Maternity &amp; Surgery Center of Santa Cruz</c:v>
                </c:pt>
                <c:pt idx="357">
                  <c:v>Sutter Medical Center, Sacramento</c:v>
                </c:pt>
                <c:pt idx="358">
                  <c:v>Sutter Roseville Medical Center</c:v>
                </c:pt>
                <c:pt idx="359">
                  <c:v>Sutter Santa Rosa Regional Hospital</c:v>
                </c:pt>
                <c:pt idx="360">
                  <c:v>Sutter Solano Medical Center</c:v>
                </c:pt>
                <c:pt idx="361">
                  <c:v>Sutter Surgical Hospital, North Valley</c:v>
                </c:pt>
                <c:pt idx="362">
                  <c:v>Sutter Tracy Community Hospital</c:v>
                </c:pt>
                <c:pt idx="363">
                  <c:v>Tahoe Forest Hospital</c:v>
                </c:pt>
                <c:pt idx="364">
                  <c:v>Temecula Valley Hospital</c:v>
                </c:pt>
                <c:pt idx="365">
                  <c:v>Tenet Health Central Coast Sierra Vista Regional Medical Center</c:v>
                </c:pt>
                <c:pt idx="366">
                  <c:v>Tenet Health Central Coast Twin Cities Community Hospital</c:v>
                </c:pt>
                <c:pt idx="367">
                  <c:v>The General Hospital</c:v>
                </c:pt>
                <c:pt idx="368">
                  <c:v>Thousand Oaks Surgical Hospital</c:v>
                </c:pt>
                <c:pt idx="369">
                  <c:v>Torrance Memorial Medical Center</c:v>
                </c:pt>
                <c:pt idx="370">
                  <c:v>Totally Kids Rehabilitation Hospital</c:v>
                </c:pt>
                <c:pt idx="371">
                  <c:v>Tri-City Medical Center</c:v>
                </c:pt>
                <c:pt idx="372">
                  <c:v>Trinity Hospital</c:v>
                </c:pt>
                <c:pt idx="373">
                  <c:v>UC San Diego Health Hillcrest</c:v>
                </c:pt>
                <c:pt idx="374">
                  <c:v>UC San Diego Health La Jolla</c:v>
                </c:pt>
                <c:pt idx="375">
                  <c:v>UCSF Benioff Children's Hospital Oakland</c:v>
                </c:pt>
                <c:pt idx="376">
                  <c:v>UCSF Medical Center</c:v>
                </c:pt>
                <c:pt idx="377">
                  <c:v>UCSF Medical Center at Mission Bay</c:v>
                </c:pt>
                <c:pt idx="378">
                  <c:v>UCSF Medical Center at Mount Zion</c:v>
                </c:pt>
                <c:pt idx="379">
                  <c:v>University of California Davis Medical Center</c:v>
                </c:pt>
                <c:pt idx="380">
                  <c:v>University of California Irvine Medical Center</c:v>
                </c:pt>
                <c:pt idx="381">
                  <c:v>USC Kenneth Norris Jr. Cancer Hospital</c:v>
                </c:pt>
                <c:pt idx="382">
                  <c:v>USC Verdugo Hills Hospital</c:v>
                </c:pt>
                <c:pt idx="383">
                  <c:v>Valley Children's Hospital</c:v>
                </c:pt>
                <c:pt idx="384">
                  <c:v>Valley Presbyterian Hospital</c:v>
                </c:pt>
                <c:pt idx="385">
                  <c:v>Ventura County Medical Center</c:v>
                </c:pt>
                <c:pt idx="386">
                  <c:v>Ventura County Medical Center, Santa Paula Hospital</c:v>
                </c:pt>
                <c:pt idx="387">
                  <c:v>Vibra Hospital of Northern California</c:v>
                </c:pt>
                <c:pt idx="388">
                  <c:v>Vibra Hospital of Sacramento</c:v>
                </c:pt>
                <c:pt idx="389">
                  <c:v>Vibra Rehabilitation Hospital of Rancho Mirage</c:v>
                </c:pt>
                <c:pt idx="390">
                  <c:v>Victor Valley Global Medical Center</c:v>
                </c:pt>
                <c:pt idx="391">
                  <c:v>Washington Hospital</c:v>
                </c:pt>
                <c:pt idx="392">
                  <c:v>Watsonville Community Hospital</c:v>
                </c:pt>
                <c:pt idx="393">
                  <c:v>West Anaheim Medical Center</c:v>
                </c:pt>
                <c:pt idx="394">
                  <c:v>West Covina Medical Center</c:v>
                </c:pt>
                <c:pt idx="395">
                  <c:v>West Hills Hospital &amp; Medical Center</c:v>
                </c:pt>
                <c:pt idx="396">
                  <c:v>Whittier Hospital Medical Center</c:v>
                </c:pt>
                <c:pt idx="397">
                  <c:v>Woodland Memorial Hospital</c:v>
                </c:pt>
                <c:pt idx="398">
                  <c:v>Zuckerberg San Francisco General Hospital and Trauma Center</c:v>
                </c:pt>
              </c:strCache>
            </c:strRef>
          </c:cat>
          <c:val>
            <c:numRef>
              <c:f>'CLABSI Pivot Data'!$B$4:$B$403</c:f>
              <c:numCache>
                <c:formatCode>General</c:formatCode>
                <c:ptCount val="399"/>
                <c:pt idx="0">
                  <c:v>5</c:v>
                </c:pt>
                <c:pt idx="1">
                  <c:v>20</c:v>
                </c:pt>
                <c:pt idx="2">
                  <c:v>0</c:v>
                </c:pt>
                <c:pt idx="3">
                  <c:v>3</c:v>
                </c:pt>
                <c:pt idx="4">
                  <c:v>7</c:v>
                </c:pt>
                <c:pt idx="5">
                  <c:v>8</c:v>
                </c:pt>
                <c:pt idx="6">
                  <c:v>0</c:v>
                </c:pt>
                <c:pt idx="7">
                  <c:v>4</c:v>
                </c:pt>
                <c:pt idx="8">
                  <c:v>0</c:v>
                </c:pt>
                <c:pt idx="9">
                  <c:v>0</c:v>
                </c:pt>
                <c:pt idx="10">
                  <c:v>1</c:v>
                </c:pt>
                <c:pt idx="11">
                  <c:v>2</c:v>
                </c:pt>
                <c:pt idx="12">
                  <c:v>4</c:v>
                </c:pt>
                <c:pt idx="13">
                  <c:v>0</c:v>
                </c:pt>
                <c:pt idx="14">
                  <c:v>1</c:v>
                </c:pt>
                <c:pt idx="15">
                  <c:v>0</c:v>
                </c:pt>
                <c:pt idx="16">
                  <c:v>3</c:v>
                </c:pt>
                <c:pt idx="17">
                  <c:v>5</c:v>
                </c:pt>
                <c:pt idx="18">
                  <c:v>9</c:v>
                </c:pt>
                <c:pt idx="19">
                  <c:v>1</c:v>
                </c:pt>
                <c:pt idx="20">
                  <c:v>2</c:v>
                </c:pt>
                <c:pt idx="21">
                  <c:v>1</c:v>
                </c:pt>
                <c:pt idx="22">
                  <c:v>7</c:v>
                </c:pt>
                <c:pt idx="23">
                  <c:v>4</c:v>
                </c:pt>
                <c:pt idx="24">
                  <c:v>1</c:v>
                </c:pt>
                <c:pt idx="25">
                  <c:v>2</c:v>
                </c:pt>
                <c:pt idx="26">
                  <c:v>32</c:v>
                </c:pt>
                <c:pt idx="27">
                  <c:v>21</c:v>
                </c:pt>
                <c:pt idx="28">
                  <c:v>12</c:v>
                </c:pt>
                <c:pt idx="29">
                  <c:v>10</c:v>
                </c:pt>
                <c:pt idx="30">
                  <c:v>0</c:v>
                </c:pt>
                <c:pt idx="31">
                  <c:v>0</c:v>
                </c:pt>
                <c:pt idx="32">
                  <c:v>12</c:v>
                </c:pt>
                <c:pt idx="33">
                  <c:v>2</c:v>
                </c:pt>
                <c:pt idx="34">
                  <c:v>0</c:v>
                </c:pt>
                <c:pt idx="35">
                  <c:v>0</c:v>
                </c:pt>
                <c:pt idx="36">
                  <c:v>0</c:v>
                </c:pt>
                <c:pt idx="37">
                  <c:v>4</c:v>
                </c:pt>
                <c:pt idx="38">
                  <c:v>4</c:v>
                </c:pt>
                <c:pt idx="39">
                  <c:v>2</c:v>
                </c:pt>
                <c:pt idx="40">
                  <c:v>11</c:v>
                </c:pt>
                <c:pt idx="41">
                  <c:v>1</c:v>
                </c:pt>
                <c:pt idx="42">
                  <c:v>0</c:v>
                </c:pt>
                <c:pt idx="43">
                  <c:v>0</c:v>
                </c:pt>
                <c:pt idx="44">
                  <c:v>0</c:v>
                </c:pt>
                <c:pt idx="45">
                  <c:v>0</c:v>
                </c:pt>
                <c:pt idx="46">
                  <c:v>65</c:v>
                </c:pt>
                <c:pt idx="47">
                  <c:v>4</c:v>
                </c:pt>
                <c:pt idx="48">
                  <c:v>3</c:v>
                </c:pt>
                <c:pt idx="49">
                  <c:v>0</c:v>
                </c:pt>
                <c:pt idx="50">
                  <c:v>0</c:v>
                </c:pt>
                <c:pt idx="51">
                  <c:v>41</c:v>
                </c:pt>
                <c:pt idx="52">
                  <c:v>16</c:v>
                </c:pt>
                <c:pt idx="53">
                  <c:v>0</c:v>
                </c:pt>
                <c:pt idx="54">
                  <c:v>1</c:v>
                </c:pt>
                <c:pt idx="55">
                  <c:v>56</c:v>
                </c:pt>
                <c:pt idx="56">
                  <c:v>20</c:v>
                </c:pt>
                <c:pt idx="57">
                  <c:v>0</c:v>
                </c:pt>
                <c:pt idx="58">
                  <c:v>2</c:v>
                </c:pt>
                <c:pt idx="59">
                  <c:v>0</c:v>
                </c:pt>
                <c:pt idx="60">
                  <c:v>1</c:v>
                </c:pt>
                <c:pt idx="61">
                  <c:v>0</c:v>
                </c:pt>
                <c:pt idx="62">
                  <c:v>0</c:v>
                </c:pt>
                <c:pt idx="63">
                  <c:v>1</c:v>
                </c:pt>
                <c:pt idx="64">
                  <c:v>12</c:v>
                </c:pt>
                <c:pt idx="65">
                  <c:v>10</c:v>
                </c:pt>
                <c:pt idx="66">
                  <c:v>13</c:v>
                </c:pt>
                <c:pt idx="67">
                  <c:v>74</c:v>
                </c:pt>
                <c:pt idx="68">
                  <c:v>0</c:v>
                </c:pt>
                <c:pt idx="69">
                  <c:v>3</c:v>
                </c:pt>
                <c:pt idx="70">
                  <c:v>5</c:v>
                </c:pt>
                <c:pt idx="71">
                  <c:v>18</c:v>
                </c:pt>
                <c:pt idx="72">
                  <c:v>1</c:v>
                </c:pt>
                <c:pt idx="73">
                  <c:v>0</c:v>
                </c:pt>
                <c:pt idx="74">
                  <c:v>11</c:v>
                </c:pt>
                <c:pt idx="75">
                  <c:v>3</c:v>
                </c:pt>
                <c:pt idx="76">
                  <c:v>5</c:v>
                </c:pt>
                <c:pt idx="77">
                  <c:v>2</c:v>
                </c:pt>
                <c:pt idx="78">
                  <c:v>3</c:v>
                </c:pt>
                <c:pt idx="79">
                  <c:v>0</c:v>
                </c:pt>
                <c:pt idx="80">
                  <c:v>5</c:v>
                </c:pt>
                <c:pt idx="81">
                  <c:v>15</c:v>
                </c:pt>
                <c:pt idx="82">
                  <c:v>1</c:v>
                </c:pt>
                <c:pt idx="83">
                  <c:v>1</c:v>
                </c:pt>
                <c:pt idx="84">
                  <c:v>32</c:v>
                </c:pt>
                <c:pt idx="85">
                  <c:v>0</c:v>
                </c:pt>
                <c:pt idx="86">
                  <c:v>0</c:v>
                </c:pt>
                <c:pt idx="87">
                  <c:v>1</c:v>
                </c:pt>
                <c:pt idx="88">
                  <c:v>7</c:v>
                </c:pt>
                <c:pt idx="89">
                  <c:v>0</c:v>
                </c:pt>
                <c:pt idx="90">
                  <c:v>0</c:v>
                </c:pt>
                <c:pt idx="91">
                  <c:v>0</c:v>
                </c:pt>
                <c:pt idx="92">
                  <c:v>0</c:v>
                </c:pt>
                <c:pt idx="93">
                  <c:v>0</c:v>
                </c:pt>
                <c:pt idx="94">
                  <c:v>1</c:v>
                </c:pt>
                <c:pt idx="95">
                  <c:v>0</c:v>
                </c:pt>
                <c:pt idx="96">
                  <c:v>0</c:v>
                </c:pt>
                <c:pt idx="97">
                  <c:v>2</c:v>
                </c:pt>
                <c:pt idx="98">
                  <c:v>19</c:v>
                </c:pt>
                <c:pt idx="99">
                  <c:v>3</c:v>
                </c:pt>
                <c:pt idx="100">
                  <c:v>9</c:v>
                </c:pt>
                <c:pt idx="101">
                  <c:v>0</c:v>
                </c:pt>
                <c:pt idx="102">
                  <c:v>1</c:v>
                </c:pt>
                <c:pt idx="103">
                  <c:v>9</c:v>
                </c:pt>
                <c:pt idx="104">
                  <c:v>0</c:v>
                </c:pt>
                <c:pt idx="105">
                  <c:v>3</c:v>
                </c:pt>
                <c:pt idx="106">
                  <c:v>0</c:v>
                </c:pt>
                <c:pt idx="107">
                  <c:v>0</c:v>
                </c:pt>
                <c:pt idx="108">
                  <c:v>0</c:v>
                </c:pt>
                <c:pt idx="109">
                  <c:v>9</c:v>
                </c:pt>
                <c:pt idx="110">
                  <c:v>8</c:v>
                </c:pt>
                <c:pt idx="111">
                  <c:v>0</c:v>
                </c:pt>
                <c:pt idx="112">
                  <c:v>5</c:v>
                </c:pt>
                <c:pt idx="113">
                  <c:v>0</c:v>
                </c:pt>
                <c:pt idx="114">
                  <c:v>0</c:v>
                </c:pt>
                <c:pt idx="115">
                  <c:v>0</c:v>
                </c:pt>
                <c:pt idx="116">
                  <c:v>1</c:v>
                </c:pt>
                <c:pt idx="117">
                  <c:v>13</c:v>
                </c:pt>
                <c:pt idx="118">
                  <c:v>1</c:v>
                </c:pt>
                <c:pt idx="119">
                  <c:v>8</c:v>
                </c:pt>
                <c:pt idx="120">
                  <c:v>3</c:v>
                </c:pt>
                <c:pt idx="121">
                  <c:v>10</c:v>
                </c:pt>
                <c:pt idx="122">
                  <c:v>0</c:v>
                </c:pt>
                <c:pt idx="123">
                  <c:v>8</c:v>
                </c:pt>
                <c:pt idx="124">
                  <c:v>8</c:v>
                </c:pt>
                <c:pt idx="125">
                  <c:v>4</c:v>
                </c:pt>
                <c:pt idx="126">
                  <c:v>0</c:v>
                </c:pt>
                <c:pt idx="127">
                  <c:v>0</c:v>
                </c:pt>
                <c:pt idx="128">
                  <c:v>3</c:v>
                </c:pt>
                <c:pt idx="129">
                  <c:v>11</c:v>
                </c:pt>
                <c:pt idx="130">
                  <c:v>16</c:v>
                </c:pt>
                <c:pt idx="131">
                  <c:v>4</c:v>
                </c:pt>
                <c:pt idx="132">
                  <c:v>5</c:v>
                </c:pt>
                <c:pt idx="133">
                  <c:v>2</c:v>
                </c:pt>
                <c:pt idx="134">
                  <c:v>16</c:v>
                </c:pt>
                <c:pt idx="135">
                  <c:v>19</c:v>
                </c:pt>
                <c:pt idx="136">
                  <c:v>2</c:v>
                </c:pt>
                <c:pt idx="137">
                  <c:v>6</c:v>
                </c:pt>
                <c:pt idx="138">
                  <c:v>26</c:v>
                </c:pt>
                <c:pt idx="139">
                  <c:v>0</c:v>
                </c:pt>
                <c:pt idx="140">
                  <c:v>9</c:v>
                </c:pt>
                <c:pt idx="141">
                  <c:v>4</c:v>
                </c:pt>
                <c:pt idx="142">
                  <c:v>22</c:v>
                </c:pt>
                <c:pt idx="143">
                  <c:v>12</c:v>
                </c:pt>
                <c:pt idx="144">
                  <c:v>11</c:v>
                </c:pt>
                <c:pt idx="145">
                  <c:v>4</c:v>
                </c:pt>
                <c:pt idx="146">
                  <c:v>10</c:v>
                </c:pt>
                <c:pt idx="147">
                  <c:v>0</c:v>
                </c:pt>
                <c:pt idx="148">
                  <c:v>3</c:v>
                </c:pt>
                <c:pt idx="149">
                  <c:v>8</c:v>
                </c:pt>
                <c:pt idx="150">
                  <c:v>15</c:v>
                </c:pt>
                <c:pt idx="151">
                  <c:v>11</c:v>
                </c:pt>
                <c:pt idx="152">
                  <c:v>3</c:v>
                </c:pt>
                <c:pt idx="153">
                  <c:v>8</c:v>
                </c:pt>
                <c:pt idx="154">
                  <c:v>3</c:v>
                </c:pt>
                <c:pt idx="155">
                  <c:v>6</c:v>
                </c:pt>
                <c:pt idx="156">
                  <c:v>0</c:v>
                </c:pt>
                <c:pt idx="157">
                  <c:v>17</c:v>
                </c:pt>
                <c:pt idx="158">
                  <c:v>3</c:v>
                </c:pt>
                <c:pt idx="159">
                  <c:v>10</c:v>
                </c:pt>
                <c:pt idx="160">
                  <c:v>11</c:v>
                </c:pt>
                <c:pt idx="161">
                  <c:v>1</c:v>
                </c:pt>
                <c:pt idx="162">
                  <c:v>1</c:v>
                </c:pt>
                <c:pt idx="163">
                  <c:v>16</c:v>
                </c:pt>
                <c:pt idx="164">
                  <c:v>10</c:v>
                </c:pt>
                <c:pt idx="165">
                  <c:v>10</c:v>
                </c:pt>
                <c:pt idx="166">
                  <c:v>14</c:v>
                </c:pt>
                <c:pt idx="167">
                  <c:v>17</c:v>
                </c:pt>
                <c:pt idx="169">
                  <c:v>17</c:v>
                </c:pt>
                <c:pt idx="170">
                  <c:v>2</c:v>
                </c:pt>
                <c:pt idx="171">
                  <c:v>1</c:v>
                </c:pt>
                <c:pt idx="172">
                  <c:v>19</c:v>
                </c:pt>
                <c:pt idx="173">
                  <c:v>0</c:v>
                </c:pt>
                <c:pt idx="174">
                  <c:v>10</c:v>
                </c:pt>
                <c:pt idx="175">
                  <c:v>11</c:v>
                </c:pt>
                <c:pt idx="176">
                  <c:v>11</c:v>
                </c:pt>
                <c:pt idx="177">
                  <c:v>14</c:v>
                </c:pt>
                <c:pt idx="178">
                  <c:v>39</c:v>
                </c:pt>
                <c:pt idx="179">
                  <c:v>5</c:v>
                </c:pt>
                <c:pt idx="180">
                  <c:v>23</c:v>
                </c:pt>
                <c:pt idx="181">
                  <c:v>8</c:v>
                </c:pt>
                <c:pt idx="182">
                  <c:v>8</c:v>
                </c:pt>
                <c:pt idx="183">
                  <c:v>22</c:v>
                </c:pt>
                <c:pt idx="184">
                  <c:v>12</c:v>
                </c:pt>
                <c:pt idx="185">
                  <c:v>30</c:v>
                </c:pt>
                <c:pt idx="186">
                  <c:v>32</c:v>
                </c:pt>
                <c:pt idx="187">
                  <c:v>59</c:v>
                </c:pt>
                <c:pt idx="188">
                  <c:v>1</c:v>
                </c:pt>
                <c:pt idx="189">
                  <c:v>0</c:v>
                </c:pt>
                <c:pt idx="190">
                  <c:v>38</c:v>
                </c:pt>
                <c:pt idx="191">
                  <c:v>9</c:v>
                </c:pt>
                <c:pt idx="192">
                  <c:v>0</c:v>
                </c:pt>
                <c:pt idx="193">
                  <c:v>14</c:v>
                </c:pt>
                <c:pt idx="194">
                  <c:v>0</c:v>
                </c:pt>
                <c:pt idx="195">
                  <c:v>7</c:v>
                </c:pt>
                <c:pt idx="196">
                  <c:v>6</c:v>
                </c:pt>
                <c:pt idx="197">
                  <c:v>14</c:v>
                </c:pt>
                <c:pt idx="198">
                  <c:v>1</c:v>
                </c:pt>
                <c:pt idx="199">
                  <c:v>7</c:v>
                </c:pt>
                <c:pt idx="200">
                  <c:v>1</c:v>
                </c:pt>
                <c:pt idx="201">
                  <c:v>0</c:v>
                </c:pt>
                <c:pt idx="202">
                  <c:v>26</c:v>
                </c:pt>
                <c:pt idx="203">
                  <c:v>0</c:v>
                </c:pt>
                <c:pt idx="204">
                  <c:v>5</c:v>
                </c:pt>
                <c:pt idx="205">
                  <c:v>0</c:v>
                </c:pt>
                <c:pt idx="206">
                  <c:v>20</c:v>
                </c:pt>
                <c:pt idx="207">
                  <c:v>0</c:v>
                </c:pt>
                <c:pt idx="208">
                  <c:v>9</c:v>
                </c:pt>
                <c:pt idx="209">
                  <c:v>0</c:v>
                </c:pt>
                <c:pt idx="210">
                  <c:v>9</c:v>
                </c:pt>
                <c:pt idx="211">
                  <c:v>0</c:v>
                </c:pt>
                <c:pt idx="212">
                  <c:v>1</c:v>
                </c:pt>
                <c:pt idx="213">
                  <c:v>0</c:v>
                </c:pt>
                <c:pt idx="214">
                  <c:v>0</c:v>
                </c:pt>
                <c:pt idx="215">
                  <c:v>0</c:v>
                </c:pt>
                <c:pt idx="216">
                  <c:v>0</c:v>
                </c:pt>
                <c:pt idx="217">
                  <c:v>0</c:v>
                </c:pt>
                <c:pt idx="218">
                  <c:v>5</c:v>
                </c:pt>
                <c:pt idx="219">
                  <c:v>12</c:v>
                </c:pt>
                <c:pt idx="220">
                  <c:v>19</c:v>
                </c:pt>
                <c:pt idx="221">
                  <c:v>12</c:v>
                </c:pt>
                <c:pt idx="222">
                  <c:v>3</c:v>
                </c:pt>
                <c:pt idx="223">
                  <c:v>6</c:v>
                </c:pt>
                <c:pt idx="224">
                  <c:v>0</c:v>
                </c:pt>
                <c:pt idx="225">
                  <c:v>8</c:v>
                </c:pt>
                <c:pt idx="226">
                  <c:v>8</c:v>
                </c:pt>
                <c:pt idx="227">
                  <c:v>3</c:v>
                </c:pt>
                <c:pt idx="228">
                  <c:v>9</c:v>
                </c:pt>
                <c:pt idx="229">
                  <c:v>0</c:v>
                </c:pt>
                <c:pt idx="230">
                  <c:v>11</c:v>
                </c:pt>
                <c:pt idx="231">
                  <c:v>4</c:v>
                </c:pt>
                <c:pt idx="232">
                  <c:v>2</c:v>
                </c:pt>
                <c:pt idx="233">
                  <c:v>8</c:v>
                </c:pt>
                <c:pt idx="234">
                  <c:v>9</c:v>
                </c:pt>
                <c:pt idx="235">
                  <c:v>0</c:v>
                </c:pt>
                <c:pt idx="236">
                  <c:v>3</c:v>
                </c:pt>
                <c:pt idx="237">
                  <c:v>0</c:v>
                </c:pt>
                <c:pt idx="238">
                  <c:v>0</c:v>
                </c:pt>
                <c:pt idx="239">
                  <c:v>3</c:v>
                </c:pt>
                <c:pt idx="240">
                  <c:v>2</c:v>
                </c:pt>
                <c:pt idx="241">
                  <c:v>5</c:v>
                </c:pt>
                <c:pt idx="242">
                  <c:v>0</c:v>
                </c:pt>
                <c:pt idx="243">
                  <c:v>6</c:v>
                </c:pt>
                <c:pt idx="244">
                  <c:v>1</c:v>
                </c:pt>
                <c:pt idx="245">
                  <c:v>1</c:v>
                </c:pt>
                <c:pt idx="246">
                  <c:v>0</c:v>
                </c:pt>
                <c:pt idx="247">
                  <c:v>4</c:v>
                </c:pt>
                <c:pt idx="248">
                  <c:v>0</c:v>
                </c:pt>
                <c:pt idx="249">
                  <c:v>0</c:v>
                </c:pt>
                <c:pt idx="250">
                  <c:v>0</c:v>
                </c:pt>
                <c:pt idx="251">
                  <c:v>13</c:v>
                </c:pt>
                <c:pt idx="252">
                  <c:v>0</c:v>
                </c:pt>
                <c:pt idx="253">
                  <c:v>4</c:v>
                </c:pt>
                <c:pt idx="254">
                  <c:v>11</c:v>
                </c:pt>
                <c:pt idx="255">
                  <c:v>0</c:v>
                </c:pt>
                <c:pt idx="256">
                  <c:v>0</c:v>
                </c:pt>
                <c:pt idx="257">
                  <c:v>0</c:v>
                </c:pt>
                <c:pt idx="258">
                  <c:v>5</c:v>
                </c:pt>
                <c:pt idx="259">
                  <c:v>0</c:v>
                </c:pt>
                <c:pt idx="260">
                  <c:v>0</c:v>
                </c:pt>
                <c:pt idx="261">
                  <c:v>10</c:v>
                </c:pt>
                <c:pt idx="262">
                  <c:v>3</c:v>
                </c:pt>
                <c:pt idx="263">
                  <c:v>1</c:v>
                </c:pt>
                <c:pt idx="264">
                  <c:v>0</c:v>
                </c:pt>
                <c:pt idx="265">
                  <c:v>0</c:v>
                </c:pt>
                <c:pt idx="266">
                  <c:v>3</c:v>
                </c:pt>
                <c:pt idx="267">
                  <c:v>6</c:v>
                </c:pt>
                <c:pt idx="268">
                  <c:v>10</c:v>
                </c:pt>
                <c:pt idx="269">
                  <c:v>1</c:v>
                </c:pt>
                <c:pt idx="270">
                  <c:v>0</c:v>
                </c:pt>
                <c:pt idx="271">
                  <c:v>24</c:v>
                </c:pt>
                <c:pt idx="272">
                  <c:v>0</c:v>
                </c:pt>
                <c:pt idx="273">
                  <c:v>5</c:v>
                </c:pt>
                <c:pt idx="274">
                  <c:v>6</c:v>
                </c:pt>
                <c:pt idx="275">
                  <c:v>1</c:v>
                </c:pt>
                <c:pt idx="276">
                  <c:v>12</c:v>
                </c:pt>
                <c:pt idx="277">
                  <c:v>17</c:v>
                </c:pt>
                <c:pt idx="278">
                  <c:v>0</c:v>
                </c:pt>
                <c:pt idx="279">
                  <c:v>5</c:v>
                </c:pt>
                <c:pt idx="280">
                  <c:v>0</c:v>
                </c:pt>
                <c:pt idx="281">
                  <c:v>4</c:v>
                </c:pt>
                <c:pt idx="282">
                  <c:v>18</c:v>
                </c:pt>
                <c:pt idx="283">
                  <c:v>9</c:v>
                </c:pt>
                <c:pt idx="284">
                  <c:v>2</c:v>
                </c:pt>
                <c:pt idx="285">
                  <c:v>15</c:v>
                </c:pt>
                <c:pt idx="286">
                  <c:v>15</c:v>
                </c:pt>
                <c:pt idx="287">
                  <c:v>16</c:v>
                </c:pt>
                <c:pt idx="288">
                  <c:v>27</c:v>
                </c:pt>
                <c:pt idx="289">
                  <c:v>4</c:v>
                </c:pt>
                <c:pt idx="290">
                  <c:v>8</c:v>
                </c:pt>
                <c:pt idx="291">
                  <c:v>2</c:v>
                </c:pt>
                <c:pt idx="292">
                  <c:v>42</c:v>
                </c:pt>
                <c:pt idx="293">
                  <c:v>2</c:v>
                </c:pt>
                <c:pt idx="294">
                  <c:v>38</c:v>
                </c:pt>
                <c:pt idx="295">
                  <c:v>26</c:v>
                </c:pt>
                <c:pt idx="296">
                  <c:v>0</c:v>
                </c:pt>
                <c:pt idx="297">
                  <c:v>1</c:v>
                </c:pt>
                <c:pt idx="298">
                  <c:v>18</c:v>
                </c:pt>
                <c:pt idx="299">
                  <c:v>1</c:v>
                </c:pt>
                <c:pt idx="300">
                  <c:v>4</c:v>
                </c:pt>
                <c:pt idx="301">
                  <c:v>3</c:v>
                </c:pt>
                <c:pt idx="302">
                  <c:v>39</c:v>
                </c:pt>
                <c:pt idx="303">
                  <c:v>0</c:v>
                </c:pt>
                <c:pt idx="304">
                  <c:v>0</c:v>
                </c:pt>
                <c:pt idx="305">
                  <c:v>0</c:v>
                </c:pt>
                <c:pt idx="306">
                  <c:v>3</c:v>
                </c:pt>
                <c:pt idx="307">
                  <c:v>15</c:v>
                </c:pt>
                <c:pt idx="308">
                  <c:v>35</c:v>
                </c:pt>
                <c:pt idx="309">
                  <c:v>17</c:v>
                </c:pt>
                <c:pt idx="310">
                  <c:v>0</c:v>
                </c:pt>
                <c:pt idx="311">
                  <c:v>13</c:v>
                </c:pt>
                <c:pt idx="312">
                  <c:v>1</c:v>
                </c:pt>
                <c:pt idx="313">
                  <c:v>18</c:v>
                </c:pt>
                <c:pt idx="314">
                  <c:v>13</c:v>
                </c:pt>
                <c:pt idx="315">
                  <c:v>4</c:v>
                </c:pt>
                <c:pt idx="316">
                  <c:v>12</c:v>
                </c:pt>
                <c:pt idx="317">
                  <c:v>0</c:v>
                </c:pt>
                <c:pt idx="318">
                  <c:v>1</c:v>
                </c:pt>
                <c:pt idx="319">
                  <c:v>16</c:v>
                </c:pt>
                <c:pt idx="320">
                  <c:v>5</c:v>
                </c:pt>
                <c:pt idx="321">
                  <c:v>3</c:v>
                </c:pt>
                <c:pt idx="322">
                  <c:v>24</c:v>
                </c:pt>
                <c:pt idx="323">
                  <c:v>5</c:v>
                </c:pt>
                <c:pt idx="324">
                  <c:v>0</c:v>
                </c:pt>
                <c:pt idx="325">
                  <c:v>2</c:v>
                </c:pt>
                <c:pt idx="326">
                  <c:v>1</c:v>
                </c:pt>
                <c:pt idx="327">
                  <c:v>5</c:v>
                </c:pt>
                <c:pt idx="328">
                  <c:v>4</c:v>
                </c:pt>
                <c:pt idx="329">
                  <c:v>0</c:v>
                </c:pt>
                <c:pt idx="330">
                  <c:v>1</c:v>
                </c:pt>
                <c:pt idx="331">
                  <c:v>1</c:v>
                </c:pt>
                <c:pt idx="332">
                  <c:v>1</c:v>
                </c:pt>
                <c:pt idx="334">
                  <c:v>1</c:v>
                </c:pt>
                <c:pt idx="335">
                  <c:v>2</c:v>
                </c:pt>
                <c:pt idx="336">
                  <c:v>4</c:v>
                </c:pt>
                <c:pt idx="337">
                  <c:v>5</c:v>
                </c:pt>
                <c:pt idx="338">
                  <c:v>3</c:v>
                </c:pt>
                <c:pt idx="339">
                  <c:v>12</c:v>
                </c:pt>
                <c:pt idx="340">
                  <c:v>2</c:v>
                </c:pt>
                <c:pt idx="341">
                  <c:v>10</c:v>
                </c:pt>
                <c:pt idx="342">
                  <c:v>43</c:v>
                </c:pt>
                <c:pt idx="343">
                  <c:v>3</c:v>
                </c:pt>
                <c:pt idx="344">
                  <c:v>1</c:v>
                </c:pt>
                <c:pt idx="345">
                  <c:v>1</c:v>
                </c:pt>
                <c:pt idx="346">
                  <c:v>90</c:v>
                </c:pt>
                <c:pt idx="347">
                  <c:v>2</c:v>
                </c:pt>
                <c:pt idx="348">
                  <c:v>0</c:v>
                </c:pt>
                <c:pt idx="349">
                  <c:v>0</c:v>
                </c:pt>
                <c:pt idx="350">
                  <c:v>3</c:v>
                </c:pt>
                <c:pt idx="351">
                  <c:v>2</c:v>
                </c:pt>
                <c:pt idx="352">
                  <c:v>0</c:v>
                </c:pt>
                <c:pt idx="353">
                  <c:v>1</c:v>
                </c:pt>
                <c:pt idx="354">
                  <c:v>2</c:v>
                </c:pt>
                <c:pt idx="355">
                  <c:v>1</c:v>
                </c:pt>
                <c:pt idx="356">
                  <c:v>0</c:v>
                </c:pt>
                <c:pt idx="357">
                  <c:v>21</c:v>
                </c:pt>
                <c:pt idx="358">
                  <c:v>20</c:v>
                </c:pt>
                <c:pt idx="359">
                  <c:v>1</c:v>
                </c:pt>
                <c:pt idx="360">
                  <c:v>0</c:v>
                </c:pt>
                <c:pt idx="361">
                  <c:v>0</c:v>
                </c:pt>
                <c:pt idx="362">
                  <c:v>0</c:v>
                </c:pt>
                <c:pt idx="363">
                  <c:v>0</c:v>
                </c:pt>
                <c:pt idx="364">
                  <c:v>4</c:v>
                </c:pt>
                <c:pt idx="365">
                  <c:v>2</c:v>
                </c:pt>
                <c:pt idx="366">
                  <c:v>0</c:v>
                </c:pt>
                <c:pt idx="367">
                  <c:v>0</c:v>
                </c:pt>
                <c:pt idx="368">
                  <c:v>0</c:v>
                </c:pt>
                <c:pt idx="369">
                  <c:v>4</c:v>
                </c:pt>
                <c:pt idx="370">
                  <c:v>0</c:v>
                </c:pt>
                <c:pt idx="371">
                  <c:v>12</c:v>
                </c:pt>
                <c:pt idx="372">
                  <c:v>0</c:v>
                </c:pt>
                <c:pt idx="373">
                  <c:v>8</c:v>
                </c:pt>
                <c:pt idx="374">
                  <c:v>32</c:v>
                </c:pt>
                <c:pt idx="375">
                  <c:v>6</c:v>
                </c:pt>
                <c:pt idx="376">
                  <c:v>52</c:v>
                </c:pt>
                <c:pt idx="377">
                  <c:v>26</c:v>
                </c:pt>
                <c:pt idx="378">
                  <c:v>1</c:v>
                </c:pt>
                <c:pt idx="379">
                  <c:v>53</c:v>
                </c:pt>
                <c:pt idx="380">
                  <c:v>37</c:v>
                </c:pt>
                <c:pt idx="381">
                  <c:v>8</c:v>
                </c:pt>
                <c:pt idx="382">
                  <c:v>1</c:v>
                </c:pt>
                <c:pt idx="383">
                  <c:v>7</c:v>
                </c:pt>
                <c:pt idx="384">
                  <c:v>16</c:v>
                </c:pt>
                <c:pt idx="385">
                  <c:v>5</c:v>
                </c:pt>
                <c:pt idx="386">
                  <c:v>0</c:v>
                </c:pt>
                <c:pt idx="387">
                  <c:v>0</c:v>
                </c:pt>
                <c:pt idx="388">
                  <c:v>9</c:v>
                </c:pt>
                <c:pt idx="389">
                  <c:v>0</c:v>
                </c:pt>
                <c:pt idx="390">
                  <c:v>2</c:v>
                </c:pt>
                <c:pt idx="391">
                  <c:v>5</c:v>
                </c:pt>
                <c:pt idx="392">
                  <c:v>3</c:v>
                </c:pt>
                <c:pt idx="393">
                  <c:v>2</c:v>
                </c:pt>
                <c:pt idx="394">
                  <c:v>0</c:v>
                </c:pt>
                <c:pt idx="395">
                  <c:v>13</c:v>
                </c:pt>
                <c:pt idx="396">
                  <c:v>1</c:v>
                </c:pt>
                <c:pt idx="397">
                  <c:v>4</c:v>
                </c:pt>
                <c:pt idx="398">
                  <c:v>7</c:v>
                </c:pt>
              </c:numCache>
            </c:numRef>
          </c:val>
          <c:extLst>
            <c:ext xmlns:c16="http://schemas.microsoft.com/office/drawing/2014/chart" uri="{C3380CC4-5D6E-409C-BE32-E72D297353CC}">
              <c16:uniqueId val="{00000000-1C00-44CB-90AC-A11912AE55AC}"/>
            </c:ext>
          </c:extLst>
        </c:ser>
        <c:dLbls>
          <c:showLegendKey val="0"/>
          <c:showVal val="0"/>
          <c:showCatName val="0"/>
          <c:showSerName val="0"/>
          <c:showPercent val="0"/>
          <c:showBubbleSize val="0"/>
        </c:dLbls>
        <c:gapWidth val="182"/>
        <c:axId val="255392368"/>
        <c:axId val="255403184"/>
      </c:barChart>
      <c:catAx>
        <c:axId val="255392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403184"/>
        <c:crosses val="autoZero"/>
        <c:auto val="1"/>
        <c:lblAlgn val="ctr"/>
        <c:lblOffset val="100"/>
        <c:noMultiLvlLbl val="0"/>
      </c:catAx>
      <c:valAx>
        <c:axId val="2554031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392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845820</xdr:colOff>
          <xdr:row>4</xdr:row>
          <xdr:rowOff>45720</xdr:rowOff>
        </xdr:from>
        <xdr:to>
          <xdr:col>1</xdr:col>
          <xdr:colOff>876300</xdr:colOff>
          <xdr:row>5</xdr:row>
          <xdr:rowOff>152400</xdr:rowOff>
        </xdr:to>
        <xdr:sp macro="" textlink="">
          <xdr:nvSpPr>
            <xdr:cNvPr id="2049" name="txtSampleSearch"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6</xdr:row>
          <xdr:rowOff>121920</xdr:rowOff>
        </xdr:from>
        <xdr:to>
          <xdr:col>0</xdr:col>
          <xdr:colOff>1676400</xdr:colOff>
          <xdr:row>7</xdr:row>
          <xdr:rowOff>175260</xdr:rowOff>
        </xdr:to>
        <xdr:sp macro="" textlink="">
          <xdr:nvSpPr>
            <xdr:cNvPr id="2050" name="OptBeginswith"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xdr:colOff>
          <xdr:row>6</xdr:row>
          <xdr:rowOff>144780</xdr:rowOff>
        </xdr:from>
        <xdr:to>
          <xdr:col>2</xdr:col>
          <xdr:colOff>571500</xdr:colOff>
          <xdr:row>8</xdr:row>
          <xdr:rowOff>15240</xdr:rowOff>
        </xdr:to>
        <xdr:sp macro="" textlink="">
          <xdr:nvSpPr>
            <xdr:cNvPr id="2051" name="OptContain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1348740</xdr:colOff>
      <xdr:row>0</xdr:row>
      <xdr:rowOff>38101</xdr:rowOff>
    </xdr:from>
    <xdr:to>
      <xdr:col>5</xdr:col>
      <xdr:colOff>7620</xdr:colOff>
      <xdr:row>10</xdr:row>
      <xdr:rowOff>160021</xdr:rowOff>
    </xdr:to>
    <mc:AlternateContent xmlns:mc="http://schemas.openxmlformats.org/markup-compatibility/2006" xmlns:sle15="http://schemas.microsoft.com/office/drawing/2012/slicer">
      <mc:Choice Requires="sle15">
        <xdr:graphicFrame macro="">
          <xdr:nvGraphicFramePr>
            <xdr:cNvPr id="4" name="Shelf Level (1-5, D=Door) 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Shelf Level (1-5, D=Door) 1"/>
            </a:graphicData>
          </a:graphic>
        </xdr:graphicFrame>
      </mc:Choice>
      <mc:Fallback xmlns="">
        <xdr:sp macro="" textlink="">
          <xdr:nvSpPr>
            <xdr:cNvPr id="0" name=""/>
            <xdr:cNvSpPr>
              <a:spLocks noTextEdit="1"/>
            </xdr:cNvSpPr>
          </xdr:nvSpPr>
          <xdr:spPr>
            <a:xfrm>
              <a:off x="4930140" y="38101"/>
              <a:ext cx="1828800" cy="19507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12</xdr:col>
      <xdr:colOff>295275</xdr:colOff>
      <xdr:row>0</xdr:row>
      <xdr:rowOff>9525</xdr:rowOff>
    </xdr:from>
    <xdr:ext cx="2181223" cy="217741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alphaModFix amt="20000"/>
          <a:extLst>
            <a:ext uri="{28A0092B-C50C-407E-A947-70E740481C1C}">
              <a14:useLocalDpi xmlns:a14="http://schemas.microsoft.com/office/drawing/2010/main" val="0"/>
            </a:ext>
          </a:extLst>
        </a:blip>
        <a:stretch>
          <a:fillRect/>
        </a:stretch>
      </xdr:blipFill>
      <xdr:spPr>
        <a:xfrm>
          <a:off x="14537055" y="9525"/>
          <a:ext cx="2181223" cy="217741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8</xdr:col>
          <xdr:colOff>7620</xdr:colOff>
          <xdr:row>6</xdr:row>
          <xdr:rowOff>175260</xdr:rowOff>
        </xdr:from>
        <xdr:to>
          <xdr:col>10</xdr:col>
          <xdr:colOff>762000</xdr:colOff>
          <xdr:row>8</xdr:row>
          <xdr:rowOff>30480</xdr:rowOff>
        </xdr:to>
        <xdr:sp macro="" textlink="">
          <xdr:nvSpPr>
            <xdr:cNvPr id="3073" name="TextBox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0</xdr:colOff>
      <xdr:row>0</xdr:row>
      <xdr:rowOff>1</xdr:rowOff>
    </xdr:from>
    <xdr:ext cx="2895600" cy="1973580"/>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alphaModFix amt="20000"/>
          <a:extLst>
            <a:ext uri="{28A0092B-C50C-407E-A947-70E740481C1C}">
              <a14:useLocalDpi xmlns:a14="http://schemas.microsoft.com/office/drawing/2010/main" val="0"/>
            </a:ext>
          </a:extLst>
        </a:blip>
        <a:stretch>
          <a:fillRect/>
        </a:stretch>
      </xdr:blipFill>
      <xdr:spPr>
        <a:xfrm>
          <a:off x="0" y="1"/>
          <a:ext cx="2895600" cy="1973580"/>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114300</xdr:colOff>
      <xdr:row>0</xdr:row>
      <xdr:rowOff>167640</xdr:rowOff>
    </xdr:from>
    <xdr:to>
      <xdr:col>9</xdr:col>
      <xdr:colOff>419100</xdr:colOff>
      <xdr:row>32</xdr:row>
      <xdr:rowOff>114300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qui" refreshedDate="44958.813864004631" createdVersion="8" refreshedVersion="8" minRefreshableVersion="3" recordCount="459" xr:uid="{FFF96A60-F5FD-407B-8C08-CE3F3B70615D}">
  <cacheSource type="worksheet">
    <worksheetSource name="Table6"/>
  </cacheSource>
  <cacheFields count="11">
    <cacheField name="Year" numFmtId="0">
      <sharedItems containsSemiMixedTypes="0" containsString="0" containsNumber="1" containsInteger="1" minValue="2021" maxValue="2021"/>
    </cacheField>
    <cacheField name="State" numFmtId="0">
      <sharedItems count="1">
        <s v="California"/>
      </sharedItems>
    </cacheField>
    <cacheField name="Hospital_Acquired_Infection (HAI)" numFmtId="0">
      <sharedItems/>
    </cacheField>
    <cacheField name="Facility_ID" numFmtId="0">
      <sharedItems containsSemiMixedTypes="0" containsString="0" containsNumber="1" containsInteger="1" minValue="30000037" maxValue="930001709"/>
    </cacheField>
    <cacheField name="Facility_Name" numFmtId="0">
      <sharedItems count="399">
        <s v="Alameda Hospital"/>
        <s v="Alta Bates Summit Medical Center"/>
        <s v="Alta Bates Summit Medical Center, Alta Bates Campus"/>
        <s v="Eden Medical Center"/>
        <s v="Highland Hospital"/>
        <s v="Kaiser Foundation Hospital, Fremont"/>
        <s v="Kaiser Foundation Hospital, Oakland/Richmond"/>
        <s v="Kaiser Foundation Hospital, San Leandro"/>
        <s v="Kindred Hospital, San Francisco Bay Area"/>
        <s v="San Leandro Hospital"/>
        <s v="St Rose Hospital"/>
        <s v="Stanford Health Care - ValleyCare"/>
        <s v="UCSF Benioff Children's Hospital Oakland"/>
        <s v="Washington Hospital"/>
        <s v="Sutter Amador Hospital"/>
        <s v="Enloe Medical Center, Esplanade"/>
        <s v="Enloe Rehabilitation Center"/>
        <s v="Orchard Hospital"/>
        <s v="Oroville Hospital"/>
        <s v="Mark Twain Medical Center"/>
        <s v="Colusa Medical Center"/>
        <s v="Contra Costa Regional Medical Center"/>
        <s v="John Muir Medical Center, Concord Campus"/>
        <s v="John Muir Medical Center, Walnut Creek Campus"/>
        <s v="Kaiser Foundation Hospital, Antioch"/>
        <s v="Kaiser Foundation Hospital, Richmond Campus"/>
        <s v="Kaiser Foundation Hospital, Walnut Creek"/>
        <s v="San Ramon Regional Medical Center"/>
        <s v="Sutter Delta Medical Center"/>
        <s v="Sutter Coast Hospital"/>
        <s v="Barton Memorial Hospital"/>
        <s v="Marshall Medical Center"/>
        <s v="Adventist Health Reedley"/>
        <s v="Adventist Health Selma"/>
        <s v="Clovis Community Medical Center"/>
        <s v="Coalinga Regional Medical Center"/>
        <s v="Community Regional Medical Center"/>
        <s v="Fresno Heart and Surgical Hospital"/>
        <s v="Fresno Surgical Hospital"/>
        <s v="Kaiser Foundation Hospital, Fresno"/>
        <s v="Saint Agnes Medical Center"/>
        <s v="San Joaquin Valley Rehabilitation Hospital"/>
        <s v="Glenn Medical Center"/>
        <s v="Jerold Phelps Community Hospital"/>
        <s v="Mad River Community Hospital"/>
        <s v="Providence Redwood Memorial Hospital"/>
        <s v="Providence St. Joseph Hospital, Eureka"/>
        <s v="The General Hospital"/>
        <s v="El Centro Regional Medical Center"/>
        <s v="Pioneers Memorial Healthcare District"/>
        <s v="Northern Inyo Hospital"/>
        <s v="Southern Inyo Hospital"/>
        <s v="Adventist Health Bakersfield"/>
        <s v="Adventist Health Delano"/>
        <s v="Adventist Health Tehachapi Valley"/>
        <s v="Bakersfield Heart Hospital"/>
        <s v="Bakersfield Memorial Hospital"/>
        <s v="Encompass Health Rehabilitation Hospital of Bakersfield"/>
        <s v="Good Samaritan Hospital, Bakersfield"/>
        <s v="Kern Medical Center"/>
        <s v="Kern Valley Healthcare District"/>
        <s v="Mercy Hospital"/>
        <s v="Mercy Southwest Hospital"/>
        <s v="Ridgecrest Regional Hospital"/>
        <s v="Adventist Health Hanford"/>
        <s v="Adventist Health Clearlake"/>
        <s v="Sutter Lakeside Hospital"/>
        <s v="Banner Lassen Medical Center"/>
        <s v="Adventist Health Glendale"/>
        <s v="Adventist Health White Memorial"/>
        <s v="Alhambra Hospital Medical Center"/>
        <s v="Antelope Valley Hospital"/>
        <s v="Barlow Respiratory Hospital"/>
        <s v="Beverly Hospital"/>
        <s v="California Hospital Medical Center, Los Angeles"/>
        <s v="California Rehabilitation Institute"/>
        <s v="Casa Colina  Hospital"/>
        <s v="Casa Colina Hospital"/>
        <s v="Catalina Island Medical Center"/>
        <s v="Cedars-Sinai Marina Del Rey Hospital"/>
        <s v="Cedars-Sinai Medical Center"/>
        <s v="Centinela Hospital Medical Center"/>
        <s v="Children's Hospital Los Angeles"/>
        <s v="City of Hope Helford Clinical Research Hospital"/>
        <s v="Coast Plaza Hospital"/>
        <s v="College Medical Center"/>
        <s v="Community Hospital of Huntington Park"/>
        <s v="DOCS Surgical Hospital"/>
        <s v="East Los Angeles Doctors Hospital"/>
        <s v="Emanate Health Foothill Presbyterian Hospital"/>
        <s v="Emanate Health Inter-Community Hospital"/>
        <s v="Emanate Health Queen of the Valley Hospital"/>
        <s v="Encino Hospital Medical Center"/>
        <s v="Garfield Medical Center"/>
        <s v="Glendale Memorial Hospital and Health Center"/>
        <s v="Good Samaritan Hospital, Los Angeles"/>
        <s v="Greater El Monte Community Hospital"/>
        <s v="Henry Mayo Newhall Hospital"/>
        <s v="Hollywood Presbyterian Medical Center"/>
        <s v="Huntington Hospital"/>
        <s v="Kaiser Foundation Hospital, Baldwin Park"/>
        <s v="Kaiser Foundation Hospital, Downey"/>
        <s v="Kaiser Foundation Hospital, Los Angeles"/>
        <s v="Kaiser Foundation Hospital, Panorama City"/>
        <s v="Kaiser Foundation Hospital, South Bay"/>
        <s v="Kaiser Foundation Hospital, West LA"/>
        <s v="Kaiser Foundation Hospital, Woodland Hills"/>
        <s v="Keck Hospital of USC"/>
        <s v="Kindred Hospital Paramount"/>
        <s v="Kindred Hospital, Baldwin Park"/>
        <s v="Kindred Hospital, La Mirada"/>
        <s v="Kindred Hospital, Los Angeles"/>
        <s v="Kindred Hospital, San Gabriel Valley"/>
        <s v="Kindred Hospital, South Bay"/>
        <s v="L.A. Downtown Medical Center"/>
        <s v="LAC+USC Medical Center"/>
        <s v="LAC/Harbor UCLA Medical Center"/>
        <s v="LAC/Olive View-UCLA Medical Center"/>
        <s v="LAC/Rancho Los Amigos National Rehabilitation Center"/>
        <s v="Lakewood Regional Medical Center"/>
        <s v="Los Angeles Community Hospital"/>
        <s v="Martin Luther King Jr. Community Hospital"/>
        <s v="Memorial Hospital of Gardena"/>
        <s v="MemorialCare Long Beach Medical Center"/>
        <s v="MemorialCare Miller Children's &amp; Women's Hospital Long Beach"/>
        <s v="Methodist Hospital of Southern California"/>
        <s v="Mission Community Hospital"/>
        <s v="Monrovia Memorial Hospital"/>
        <s v="Monterey Park Hospital"/>
        <s v="Northridge Hospital Medical Center"/>
        <s v="Norwalk Community Hospital"/>
        <s v="Olympia Medical Center"/>
        <s v="PIH Health Hospital, Downey"/>
        <s v="PIH Health Hospital, Whittier"/>
        <s v="Pacific Gardens Medical Center"/>
        <s v="Pacifica Hospital of the Valley"/>
        <s v="Palmdale Regional Medical Center"/>
        <s v="Pomona Valley Hospital Medical Center"/>
        <s v="Providence Cedars-Sinai Tarzana Medical Center"/>
        <s v="Providence Holy Cross Medical Center"/>
        <s v="Providence Little Company of Mary Medical Center San Pedro"/>
        <s v="Providence Little Company of Mary Medical Center Torrance"/>
        <s v="Providence Saint John's Health Center"/>
        <s v="Providence Saint Joseph Medical Center"/>
        <s v="Ronald Reagan UCLA Medical Center"/>
        <s v="San Dimas Community Hospital"/>
        <s v="San Gabriel Valley Medical Center"/>
        <s v="Santa Monica - UCLA Medical Center and Orthopaedic Hospital"/>
        <s v="Sherman Oaks Hospital"/>
        <s v="Southern California Hospital at Culver City"/>
        <s v="Southern California Hospital at Hollywood"/>
        <s v="St. Francis Medical Center"/>
        <s v="St. Mary Medical Center, Long Beach"/>
        <s v="Torrance Memorial Medical Center"/>
        <s v="USC Kenneth Norris Jr. Cancer Hospital"/>
        <s v="USC Verdugo Hills Hospital"/>
        <s v="Valley Presbyterian Hospital"/>
        <s v="West Covina Medical Center"/>
        <s v="West Hills Hospital &amp; Medical Center"/>
        <s v="Whittier Hospital Medical Center"/>
        <s v="Madera Community Hospital"/>
        <s v="Valley Children's Hospital"/>
        <s v="Kaiser Foundation Hospital, San Rafael"/>
        <s v="Kentfield Hospital"/>
        <s v="MarinHealth Medical Center"/>
        <s v="Novato Community Hospital"/>
        <s v="John C. Fremont Healthcare District"/>
        <s v="Adventist Health Howard Memorial"/>
        <s v="Adventist Health Mendocino Coast"/>
        <s v="Adventist Health Ukiah Valley"/>
        <s v="Memorial Hospital Los Banos"/>
        <s v="Mercy Medical Center"/>
        <s v="Modoc Medical Center"/>
        <s v="Surprise Valley Community Hospital"/>
        <s v="Mammoth Hospital"/>
        <s v="Community Hospital of The Monterey Peninsula"/>
        <s v="George L. Mee Memorial Hospital"/>
        <s v="Natividad Medical Center"/>
        <s v="Salinas Valley Memorial Hospital"/>
        <s v="Adventist Health St. Helena"/>
        <s v="Providence Queen of the Valley Medical Center"/>
        <s v="Sierra Nevada Memorial Hospital"/>
        <s v="Tahoe Forest Hospital"/>
        <s v="AHMC Anaheim Regional Medical Center"/>
        <s v="Anaheim Global Medical Center"/>
        <s v="Chapman Global Medical Center"/>
        <s v="Children's Hospital at Mission"/>
        <s v="Children's Hospital of Orange County"/>
        <s v="College Hospital Costa Mesa"/>
        <s v="Encompass Health Rehabilitation Hospital of Tustin"/>
        <s v="Foothill Regional Medical Center"/>
        <s v="Fountain Valley Regional Hospital and Medical Center"/>
        <s v="Garden Grove Hospital and Medical Center"/>
        <s v="Healthbridge Children's Hospital, Orange"/>
        <s v="Hoag Hospital Irvine"/>
        <s v="Hoag Memorial Hospital Presbyterian"/>
        <s v="Hoag Orthopedic Institute"/>
        <s v="Huntington Beach Hospital"/>
        <s v="Kaiser Foundation Hospital, Orange County, Anaheim"/>
        <s v="Kaiser Foundation Hospital, Orange County, Irvine"/>
        <s v="Kindred Hospital, Brea"/>
        <s v="Kindred Hospital, Santa Ana"/>
        <s v="Kindred Hospital, Westminster"/>
        <s v="La Palma Intercommunity Hospital"/>
        <s v="Los Alamitos Medical Center"/>
        <s v="MemorialCare Orange Coast Medical Center"/>
        <s v="MemorialCare Saddleback Medical Center"/>
        <s v="Orange County Global Medical Center"/>
        <s v="Placentia Linda Hospital"/>
        <s v="Providence Mission Hospital"/>
        <s v="Providence Mission Hospital - Laguna Beach"/>
        <s v="Providence St. Joseph Hospital, Orange"/>
        <s v="Providence St. Jude Medical Center"/>
        <s v="South Coast Global Medical Center"/>
        <s v="University of California Irvine Medical Center"/>
        <s v="West Anaheim Medical Center"/>
        <s v="Kaiser Foundation Hospital, Roseville"/>
        <s v="Sutter Auburn Faith Hospital"/>
        <s v="Sutter Roseville Medical Center"/>
        <s v="Eastern Plumas Hospital, Portola Campus"/>
        <s v="Plumas District Hospital"/>
        <s v="Seneca District Hospital"/>
        <s v="Corona Regional Medical Center"/>
        <s v="Desert Regional Medical Center"/>
        <s v="Doctors Hospital of Riverside"/>
        <s v="Eisenhower Medical Center"/>
        <s v="Encompass Health Rehabilitation Hospital of Murrieta"/>
        <s v="Hemet Global Medical Center"/>
        <s v="John F. Kennedy Memorial Hospital"/>
        <s v="Kaiser Foundation Hospital, Moreno Valley"/>
        <s v="Kaiser Foundation Hospital, Riverside"/>
        <s v="Kindred Hospital, Riverside"/>
        <s v="Loma Linda University Medical Center, Murrieta"/>
        <s v="Menifee Global Medical Center"/>
        <s v="Palo Verde Hospital"/>
        <s v="Riverside Community Hospital"/>
        <s v="Riverside University Health System - Medical Center"/>
        <s v="San Gorgonio Memorial Hospital"/>
        <s v="Southwest Healthcare System, Murrieta"/>
        <s v="Southwest Healthcare System, Wildomar"/>
        <s v="Temecula Valley Hospital"/>
        <s v="Vibra Rehabilitation Hospital of Rancho Mirage"/>
        <s v="Kaiser Foundation Hospital, Sacramento"/>
        <s v="Kaiser Foundation Hospital, South Sacramento"/>
        <s v="Mercy General Hospital"/>
        <s v="Mercy Hospital of Folsom"/>
        <s v="Mercy San Juan Medical Center"/>
        <s v="Methodist Hospital of Sacramento"/>
        <s v="Shriners Hospitals for Children Northern California"/>
        <s v="Sutter Medical Center, Sacramento"/>
        <s v="University of California Davis Medical Center"/>
        <s v="Vibra Hospital of Sacramento"/>
        <s v="Hazel Hawkins Memorial Hospital"/>
        <s v="Arrowhead Regional Medical Center"/>
        <s v="Ballard Rehabilitation Hospital"/>
        <s v="Barstow Community Hospital"/>
        <s v="Bear Valley Community Hospital"/>
        <s v="Chino Valley Medical Center"/>
        <s v="Colorado River Medical Center"/>
        <s v="Community Hospital of San Bernardino"/>
        <s v="Desert Valley Hospital"/>
        <s v="Hi-Desert Medical Center"/>
        <s v="Kaiser Foundation Hospital, Fontana"/>
        <s v="Kaiser Foundation Hospital, Ontario"/>
        <s v="Kindred Hospital, Ontario"/>
        <s v="Kindred Hospital, Rancho"/>
        <s v="Loma Linda University Children's Hospital"/>
        <s v="Loma Linda University Medical Center"/>
        <s v="Loma Linda University Medical Center East Campus Hospital"/>
        <s v="Loma Linda University Surgical Hospital"/>
        <s v="Montclair Hospital Medical Center"/>
        <s v="Mountains Community Hospital"/>
        <s v="Providence St. Mary Medical Center, Apple Valley"/>
        <s v="Redlands Community Hospital"/>
        <s v="San Antonio Regional Hospital"/>
        <s v="St. Bernardine Medical Center"/>
        <s v="Totally Kids Rehabilitation Hospital"/>
        <s v="Victor Valley Global Medical Center"/>
        <s v="Alvarado Hospital Medical Center"/>
        <s v="Grossmont Hospital"/>
        <s v="Kaiser Foundation Hospital, San Diego"/>
        <s v="Kaiser Foundation Hospital, Zion"/>
        <s v="Kindred Hospital, San Diego"/>
        <s v="Palomar Medical Center"/>
        <s v="Palomar Medical Center Poway"/>
        <s v="Paradise Valley Hospital"/>
        <s v="Rady Children's Hospital, San Diego"/>
        <s v="Scripps Green Hospital"/>
        <s v="Scripps Memorial Hospital, Encinitas"/>
        <s v="Scripps Memorial Hospital, La Jolla"/>
        <s v="Scripps Mercy Hospital"/>
        <s v="Scripps Mercy Hospital Chula Vista"/>
        <s v="Select Specialty Hospital - San Diego"/>
        <s v="Sharp Chula Vista Medical Center"/>
        <s v="Sharp Coronado Hospital and Healthcare Center"/>
        <s v="Sharp Mary Birch Hospital For Women And Newborns"/>
        <s v="Sharp Memorial Hospital"/>
        <s v="Tri-City Medical Center"/>
        <s v="UC San Diego Health Hillcrest"/>
        <s v="UC San Diego Health La Jolla"/>
        <s v="California Pacific Medical Center, Davies Campus Hospital"/>
        <s v="California Pacific Medical Center, Mission Bernal Campus"/>
        <s v="California Pacific Medical Center, Van Ness Campus"/>
        <s v="Chinese Hospital"/>
        <s v="Kaiser Foundation Hospital, San Francisco"/>
        <s v="Kentfield Hospital San Francisco"/>
        <s v="Laguna Honda Hospital &amp; Rehabilitation Center"/>
        <s v="Saint Francis Memorial Hospital"/>
        <s v="St. Mary's Medical Center"/>
        <s v="UCSF Medical Center"/>
        <s v="UCSF Medical Center at Mission Bay"/>
        <s v="UCSF Medical Center at Mount Zion"/>
        <s v="Zuckerberg San Francisco General Hospital and Trauma Center"/>
        <s v="Adventist Health Lodi Memorial"/>
        <s v="Dameron Hospital Association"/>
        <s v="Doctors Hospital of Manteca"/>
        <s v="Kaiser Foundation Hospital, Manteca"/>
        <s v="San Joaquin General Hospital"/>
        <s v="St. Joseph's Medical Center Of Stockton"/>
        <s v="Sutter Tracy Community Hospital"/>
        <s v="French Hospital Medical Center"/>
        <s v="Marian Regional Medical Center, Arroyo Grande"/>
        <s v="Tenet Health Central Coast Sierra Vista Regional Medical Center"/>
        <s v="Tenet Health Central Coast Twin Cities Community Hospital"/>
        <s v="AHMC Seton Medical Center"/>
        <s v="Kaiser Foundation Hospital, Redwood City"/>
        <s v="Kaiser Foundation Hospital, South San Francisco"/>
        <s v="Mills-Peninsula Medical Center"/>
        <s v="San Mateo Medical Center"/>
        <s v="Sequoia Hospital"/>
        <s v="Goleta Valley Cottage Hospital"/>
        <s v="Lompoc Valley Medical Center"/>
        <s v="Marian Regional Medical Center"/>
        <s v="Santa Barbara Cottage Hospital"/>
        <s v="Santa Ynez Valley Cottage Hospital"/>
        <s v="El Camino Health"/>
        <s v="El Camino Health Los Gatos"/>
        <s v="Good Samaritan Hospital, San Jose"/>
        <s v="Kaiser Foundation Hospital, San Jose"/>
        <s v="Kaiser Foundation Hospital, Santa Clara"/>
        <s v="Lucile Packard Children's Hospital Stanford"/>
        <s v="Mission Oaks Hospital"/>
        <s v="O'Connor Hospital"/>
        <s v="Regional Medical Center of San Jose"/>
        <s v="Santa Clara Valley Medical Center"/>
        <s v="St. Louise Regional Hospital"/>
        <s v="Stanford Health Care"/>
        <s v="Dominican Hospital"/>
        <s v="Sutter Maternity &amp; Surgery Center of Santa Cruz"/>
        <s v="Watsonville Community Hospital"/>
        <s v="Mayers Memorial Hospital"/>
        <s v="Mercy Medical Center Redding"/>
        <s v="Patients' Hospital of Redding"/>
        <s v="Shasta Regional Medical Center"/>
        <s v="Vibra Hospital of Northern California"/>
        <s v="Fairchild Medical Center"/>
        <s v="Mercy Medical Center Mt. Shasta"/>
        <s v="Kaiser Foundation Hospital and Rehab Center, Vallejo"/>
        <s v="Kaiser Foundation Hospital, Vacaville"/>
        <s v="Northbay Medical Center"/>
        <s v="Northbay Vacavalley Hospital"/>
        <s v="Sutter Solano Medical Center"/>
        <s v="Healdsburg Hospital"/>
        <s v="Kaiser Foundation Hospital, Santa Rosa"/>
        <s v="Petaluma Valley Hospital"/>
        <s v="Providence Santa Rosa Memorial Hospital"/>
        <s v="Sonoma Specialty Hospital"/>
        <s v="Sonoma Valley Hospital"/>
        <s v="Sutter Santa Rosa Regional Hospital"/>
        <s v="Central Valley Specialty Hospital"/>
        <s v="Doctors Medical Center"/>
        <s v="Emanuel Medical Center"/>
        <s v="Encompass Health Rehabilitation Hospital of Modesto"/>
        <s v="Kaiser Foundation Hospital, Modesto"/>
        <s v="Memorial Medical Center"/>
        <s v="Oak Valley Hospital District"/>
        <s v="Stanislaus Surgical Hospital"/>
        <s v="Sutter Surgical Hospital, North Valley"/>
        <s v="St. Elizabeth Community Hospital"/>
        <s v="Trinity Hospital"/>
        <s v="Adventist Health Tulare"/>
        <s v="Kaweah Health Medical Center"/>
        <s v="Kaweah Health Medical Center, Rehabilitation Unit"/>
        <s v="Porterville Developmental Center"/>
        <s v="Sierra View Medical Center"/>
        <s v="Adventist Health Sonora"/>
        <s v="Adventist Health Simi Valley"/>
        <s v="Community Memorial Hospital, San Buenaventura"/>
        <s v="Los Robles Hospital &amp; Medical Center"/>
        <s v="Los Robles Hospital &amp; Medical Center, East Campus"/>
        <s v="Ojai Valley Community Hospital"/>
        <s v="St Johns Pleasant Valley Hospital"/>
        <s v="St Johns Regional Medical Center"/>
        <s v="Thousand Oaks Surgical Hospital"/>
        <s v="Ventura County Medical Center"/>
        <s v="Ventura County Medical Center, Santa Paula Hospital"/>
        <s v="Sutter Davis Hospital"/>
        <s v="Woodland Memorial Hospital"/>
        <s v="Adventist Health and Rideout"/>
      </sharedItems>
    </cacheField>
    <cacheField name="County" numFmtId="0">
      <sharedItems count="56">
        <s v="Alameda"/>
        <s v="Amador"/>
        <s v="Butte"/>
        <s v="Calaveras"/>
        <s v="Colusa"/>
        <s v="Contra Costa"/>
        <s v="Del Norte"/>
        <s v="El Dorado"/>
        <s v="Fresno"/>
        <s v="Glenn"/>
        <s v="Humboldt"/>
        <s v="Imperial"/>
        <s v="Inyo"/>
        <s v="Kern"/>
        <s v="Kings"/>
        <s v="Lake"/>
        <s v="Lassen"/>
        <s v="Los Angeles"/>
        <s v="Madera"/>
        <s v="Marin"/>
        <s v="Mariposa"/>
        <s v="Mendocino"/>
        <s v="Merced"/>
        <s v="Modoc"/>
        <s v="Mono"/>
        <s v="Monterey"/>
        <s v="Napa"/>
        <s v="Nevada"/>
        <s v="Orange"/>
        <s v="Placer"/>
        <s v="Plumas"/>
        <s v="Riverside"/>
        <s v="Sacramento"/>
        <s v="San Benito"/>
        <s v="San Bernardino"/>
        <s v="San Diego"/>
        <s v="San Francisco"/>
        <s v="San Joaquin"/>
        <s v="San Luis Obispo"/>
        <s v="San Mateo"/>
        <s v="Santa Barbara"/>
        <s v="Santa Clara"/>
        <s v="Santa Cruz"/>
        <s v="Shasta"/>
        <s v="Siskiyou"/>
        <s v="Solano"/>
        <s v="Sonoma"/>
        <s v="Stanislaus"/>
        <s v="Sutter"/>
        <s v="Tehama"/>
        <s v="Trinity"/>
        <s v="Tulare"/>
        <s v="Tuolumne"/>
        <s v="Ventura"/>
        <s v="Yolo"/>
        <s v="Yuba"/>
      </sharedItems>
    </cacheField>
    <cacheField name="Hospital_Category_RiskAdjustment" numFmtId="0">
      <sharedItems/>
    </cacheField>
    <cacheField name="Facility_Type" numFmtId="0">
      <sharedItems count="9">
        <s v="Community, &lt;125 Beds"/>
        <s v="Major Teaching"/>
        <s v="Rehabilitation Unit"/>
        <s v="Community, 125-250 Beds"/>
        <s v="Long-Term Acute Care"/>
        <s v="Pediatric"/>
        <s v="Community, &gt;250 Beds"/>
        <s v="Free-Standing Rehabilitation"/>
        <s v="Critical Access"/>
      </sharedItems>
    </cacheField>
    <cacheField name="Infections_Reported" numFmtId="0">
      <sharedItems containsString="0" containsBlank="1" containsNumber="1" containsInteger="1" minValue="0" maxValue="90" count="44">
        <n v="2"/>
        <n v="7"/>
        <n v="0"/>
        <n v="4"/>
        <n v="5"/>
        <n v="8"/>
        <n v="22"/>
        <n v="6"/>
        <n v="3"/>
        <n v="1"/>
        <n v="11"/>
        <n v="16"/>
        <n v="20"/>
        <n v="74"/>
        <n v="9"/>
        <n v="26"/>
        <n v="32"/>
        <n v="10"/>
        <m/>
        <n v="12"/>
        <n v="19"/>
        <n v="65"/>
        <n v="41"/>
        <n v="56"/>
        <n v="13"/>
        <n v="15"/>
        <n v="14"/>
        <n v="39"/>
        <n v="38"/>
        <n v="24"/>
        <n v="18"/>
        <n v="17"/>
        <n v="30"/>
        <n v="59"/>
        <n v="37"/>
        <n v="42"/>
        <n v="21"/>
        <n v="53"/>
        <n v="23"/>
        <n v="27"/>
        <n v="52"/>
        <n v="43"/>
        <n v="33"/>
        <n v="90"/>
      </sharedItems>
    </cacheField>
    <cacheField name="Infections_Predicted" numFmtId="1">
      <sharedItems containsString="0" containsBlank="1" containsNumber="1" minValue="0" maxValue="95.56" count="335">
        <n v="1.69"/>
        <n v="13.68"/>
        <n v="0.36"/>
        <n v="9.61"/>
        <n v="5.17"/>
        <n v="7.39"/>
        <n v="2.72"/>
        <n v="23.18"/>
        <n v="5.5"/>
        <n v="18.43"/>
        <n v="1.1100000000000001"/>
        <n v="0.15"/>
        <n v="2.08"/>
        <n v="5.0199999999999996"/>
        <n v="13.33"/>
        <n v="8.14"/>
        <n v="1.1000000000000001"/>
        <n v="10.49"/>
        <n v="0.31"/>
        <n v="0.08"/>
        <n v="0.9"/>
        <n v="0.19"/>
        <n v="1.62"/>
        <n v="10.130000000000001"/>
        <n v="17.239999999999998"/>
        <n v="0.12"/>
        <n v="5.2"/>
        <n v="2.12"/>
        <n v="8.74"/>
        <n v="1.24"/>
        <n v="3.23"/>
        <n v="0.65"/>
        <n v="0.02"/>
        <n v="0.23"/>
        <n v="2.25"/>
        <n v="0.4"/>
        <n v="0.92"/>
        <n v="14.39"/>
        <n v="0"/>
        <n v="56.87"/>
        <n v="0.39"/>
        <n v="5.15"/>
        <n v="0.06"/>
        <n v="5.62"/>
        <n v="22.53"/>
        <n v="1.18"/>
        <n v="0.14000000000000001"/>
        <n v="0.45"/>
        <n v="0.11"/>
        <n v="5.33"/>
        <n v="0.05"/>
        <n v="2.9"/>
        <n v="1.94"/>
        <n v="0.03"/>
        <m/>
        <n v="17.54"/>
        <n v="1.57"/>
        <n v="0.25"/>
        <n v="1.68"/>
        <n v="12.27"/>
        <n v="1.28"/>
        <n v="0.55000000000000004"/>
        <n v="7.25"/>
        <n v="0.01"/>
        <n v="4.76"/>
        <n v="2.5099999999999998"/>
        <n v="0.28999999999999998"/>
        <n v="5.38"/>
        <n v="12.61"/>
        <n v="0.1"/>
        <n v="9.08"/>
        <n v="1.58"/>
        <n v="14.54"/>
        <n v="12.93"/>
        <n v="3.42"/>
        <n v="8.61"/>
        <n v="0.69"/>
        <n v="4"/>
        <n v="73.400000000000006"/>
        <n v="11.46"/>
        <n v="65.39"/>
        <n v="57.82"/>
        <n v="2.13"/>
        <n v="1.4"/>
        <n v="1.5"/>
        <n v="1.07"/>
        <n v="5.78"/>
        <n v="7.63"/>
        <n v="11.75"/>
        <n v="0.2"/>
        <n v="0.87"/>
        <n v="0.13"/>
        <n v="4.3099999999999996"/>
        <n v="11.88"/>
        <n v="0.18"/>
        <n v="3.03"/>
        <n v="6.41"/>
        <n v="6.63"/>
        <n v="11.42"/>
        <n v="5.14"/>
        <n v="8.16"/>
        <n v="21.64"/>
        <n v="5.9"/>
        <n v="7.54"/>
        <n v="9.2899999999999991"/>
        <n v="4.67"/>
        <n v="32.880000000000003"/>
        <n v="10.54"/>
        <n v="15.46"/>
        <n v="9.52"/>
        <n v="10.24"/>
        <n v="10.74"/>
        <n v="8.99"/>
        <n v="1.9"/>
        <n v="29.8"/>
        <n v="19.23"/>
        <n v="7.88"/>
        <n v="4.62"/>
        <n v="0.68"/>
        <n v="4.51"/>
        <n v="1.78"/>
        <n v="2.44"/>
        <n v="19.43"/>
        <n v="15.76"/>
        <n v="0.3"/>
        <n v="4.8099999999999996"/>
        <n v="4.29"/>
        <n v="10.95"/>
        <n v="0.71"/>
        <n v="0.48"/>
        <n v="15.28"/>
        <n v="0.42"/>
        <n v="1.19"/>
        <n v="2.48"/>
        <n v="14.96"/>
        <n v="10.69"/>
        <n v="0.09"/>
        <n v="1.66"/>
        <n v="0.26"/>
        <n v="7.96"/>
        <n v="7.31"/>
        <n v="13.5"/>
        <n v="76.89"/>
        <n v="2.59"/>
        <n v="2.88"/>
        <n v="19.71"/>
        <n v="1.7"/>
        <n v="3.12"/>
        <n v="0.16"/>
        <n v="0.98"/>
        <n v="7.91"/>
        <n v="23.99"/>
        <n v="7.07"/>
        <n v="3.28"/>
        <n v="8.1199999999999992"/>
        <n v="7.14"/>
        <n v="2.3199999999999998"/>
        <n v="2.87"/>
        <n v="30.74"/>
        <n v="2.29"/>
        <n v="8.25"/>
        <n v="3.49"/>
        <n v="0.52"/>
        <n v="1.31"/>
        <n v="0.76"/>
        <n v="7.4"/>
        <n v="3.52"/>
        <n v="6.97"/>
        <n v="3.18"/>
        <n v="2.66"/>
        <n v="7.0000000000000007E-2"/>
        <n v="1.37"/>
        <n v="5.35"/>
        <n v="1.48"/>
        <n v="0.95"/>
        <n v="25.52"/>
        <n v="0.24"/>
        <n v="0.97"/>
        <n v="1.71"/>
        <n v="1.82"/>
        <n v="11.62"/>
        <n v="1.91"/>
        <n v="10.83"/>
        <n v="5.66"/>
        <n v="10.5"/>
        <n v="9.27"/>
        <n v="23.36"/>
        <n v="4.6399999999999997"/>
        <n v="8.2899999999999991"/>
        <n v="4.9400000000000004"/>
        <n v="8.11"/>
        <n v="13.27"/>
        <n v="0.38"/>
        <n v="9.1300000000000008"/>
        <n v="12.39"/>
        <n v="1.06"/>
        <n v="41.64"/>
        <n v="3.45"/>
        <n v="22.99"/>
        <n v="1.23"/>
        <n v="15.16"/>
        <n v="0.33"/>
        <n v="11.44"/>
        <n v="14.05"/>
        <n v="6.02"/>
        <n v="1.65"/>
        <n v="4.3499999999999996"/>
        <n v="11.95"/>
        <n v="7.53"/>
        <n v="4.9000000000000004"/>
        <n v="22.3"/>
        <n v="16.3"/>
        <n v="1.39"/>
        <n v="2.1800000000000002"/>
        <n v="5.0999999999999996"/>
        <n v="11.67"/>
        <n v="17.989999999999998"/>
        <n v="14.75"/>
        <n v="2.4500000000000002"/>
        <n v="15.87"/>
        <n v="3.22"/>
        <n v="38.770000000000003"/>
        <n v="79.069999999999993"/>
        <n v="11.23"/>
        <n v="18.62"/>
        <n v="0.28000000000000003"/>
        <n v="1.08"/>
        <n v="2.41"/>
        <n v="4.0599999999999996"/>
        <n v="5.97"/>
        <n v="0.6"/>
        <n v="21.28"/>
        <n v="10.92"/>
        <n v="21.56"/>
        <n v="14.1"/>
        <n v="24.67"/>
        <n v="29.89"/>
        <n v="2.91"/>
        <n v="0.75"/>
        <n v="12.17"/>
        <n v="5.28"/>
        <n v="16.350000000000001"/>
        <n v="17.78"/>
        <n v="3.04"/>
        <n v="18.7"/>
        <n v="0.04"/>
        <n v="10.36"/>
        <n v="9.01"/>
        <n v="11.4"/>
        <n v="12.54"/>
        <n v="1.32"/>
        <n v="36.69"/>
        <n v="21"/>
        <n v="11.06"/>
        <n v="3.2"/>
        <n v="22.01"/>
        <n v="12.36"/>
        <n v="1.56"/>
        <n v="6.04"/>
        <n v="32.46"/>
        <n v="9.3000000000000007"/>
        <n v="24.03"/>
        <n v="58.76"/>
        <n v="2.85"/>
        <n v="0.34"/>
        <n v="25.75"/>
        <n v="0.37"/>
        <n v="9.0399999999999991"/>
        <n v="8.3800000000000008"/>
        <n v="3.09"/>
        <n v="0.22"/>
        <n v="2.7"/>
        <n v="64.31"/>
        <n v="32.299999999999997"/>
        <n v="1.93"/>
        <n v="11.82"/>
        <n v="2.2400000000000002"/>
        <n v="2.84"/>
        <n v="1.29"/>
        <n v="1.1200000000000001"/>
        <n v="8.92"/>
        <n v="19.88"/>
        <n v="1.49"/>
        <n v="0.85"/>
        <n v="1.38"/>
        <n v="3.08"/>
        <n v="2.5"/>
        <n v="6.49"/>
        <n v="1.0900000000000001"/>
        <n v="2.39"/>
        <n v="0.63"/>
        <n v="7.1"/>
        <n v="16.03"/>
        <n v="10.9"/>
        <n v="1.25"/>
        <n v="6.87"/>
        <n v="20.03"/>
        <n v="50.16"/>
        <n v="7.32"/>
        <n v="9.31"/>
        <n v="25.99"/>
        <n v="0.35"/>
        <n v="1.85"/>
        <n v="95.56"/>
        <n v="0.57999999999999996"/>
        <n v="10.8"/>
        <n v="3.55"/>
        <n v="8.49"/>
        <n v="5.56"/>
        <n v="4.6900000000000004"/>
        <n v="5.83"/>
        <n v="1.52"/>
        <n v="2.06"/>
        <n v="5.21"/>
        <n v="0.93"/>
        <n v="13.53"/>
        <n v="2.78"/>
        <n v="0.32"/>
        <n v="3.77"/>
        <n v="1.76"/>
        <n v="11.18"/>
        <n v="2.93"/>
        <n v="6.07"/>
        <n v="13.14"/>
        <n v="1.46"/>
        <n v="0.73"/>
        <n v="17.62"/>
        <n v="1.92"/>
        <n v="4.01"/>
        <n v="8.42"/>
        <n v="9.39"/>
        <n v="4.22"/>
        <n v="2.81"/>
        <n v="1.79"/>
        <n v="7.04"/>
      </sharedItems>
    </cacheField>
    <cacheField name="Comparison" numFmtId="0">
      <sharedItems containsBlank="1" count="4">
        <s v="Same"/>
        <m/>
        <s v="Better"/>
        <s v="Wors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9">
  <r>
    <n v="2021"/>
    <x v="0"/>
    <s v="Central Line-Associated Bloodstream Infection (CLABSI)"/>
    <n v="140000011"/>
    <x v="0"/>
    <x v="0"/>
    <s v="Acute Care Hospital"/>
    <x v="0"/>
    <x v="0"/>
    <x v="0"/>
    <x v="0"/>
  </r>
  <r>
    <n v="2021"/>
    <x v="0"/>
    <s v="Central Line-Associated Bloodstream Infection (CLABSI)"/>
    <n v="140000425"/>
    <x v="1"/>
    <x v="0"/>
    <s v="Acute Care Hospital"/>
    <x v="1"/>
    <x v="1"/>
    <x v="1"/>
    <x v="0"/>
  </r>
  <r>
    <n v="2021"/>
    <x v="0"/>
    <s v="Central Line-Associated Bloodstream Infection (CLABSI)"/>
    <n v="140000425"/>
    <x v="1"/>
    <x v="0"/>
    <s v="Rehabilitation Hospital or Unit"/>
    <x v="2"/>
    <x v="2"/>
    <x v="2"/>
    <x v="0"/>
  </r>
  <r>
    <n v="2021"/>
    <x v="0"/>
    <s v="Central Line-Associated Bloodstream Infection (CLABSI)"/>
    <n v="140000012"/>
    <x v="2"/>
    <x v="0"/>
    <s v="Acute Care Hospital"/>
    <x v="1"/>
    <x v="3"/>
    <x v="3"/>
    <x v="0"/>
  </r>
  <r>
    <n v="2021"/>
    <x v="0"/>
    <s v="Central Line-Associated Bloodstream Infection (CLABSI)"/>
    <n v="140000183"/>
    <x v="3"/>
    <x v="0"/>
    <s v="Acute Care Hospital"/>
    <x v="3"/>
    <x v="4"/>
    <x v="4"/>
    <x v="0"/>
  </r>
  <r>
    <n v="2021"/>
    <x v="0"/>
    <s v="Central Line-Associated Bloodstream Infection (CLABSI)"/>
    <n v="140000034"/>
    <x v="4"/>
    <x v="0"/>
    <s v="Acute Care Hospital"/>
    <x v="1"/>
    <x v="5"/>
    <x v="5"/>
    <x v="0"/>
  </r>
  <r>
    <n v="2021"/>
    <x v="0"/>
    <s v="Central Line-Associated Bloodstream Infection (CLABSI)"/>
    <n v="140001086"/>
    <x v="5"/>
    <x v="0"/>
    <s v="Acute Care Hospital"/>
    <x v="0"/>
    <x v="0"/>
    <x v="6"/>
    <x v="0"/>
  </r>
  <r>
    <n v="2021"/>
    <x v="0"/>
    <s v="Central Line-Associated Bloodstream Infection (CLABSI)"/>
    <n v="140000188"/>
    <x v="6"/>
    <x v="0"/>
    <s v="Acute Care Hospital"/>
    <x v="1"/>
    <x v="6"/>
    <x v="7"/>
    <x v="0"/>
  </r>
  <r>
    <n v="2021"/>
    <x v="0"/>
    <s v="Central Line-Associated Bloodstream Infection (CLABSI)"/>
    <n v="630015029"/>
    <x v="7"/>
    <x v="0"/>
    <s v="Acute Care Hospital"/>
    <x v="3"/>
    <x v="7"/>
    <x v="8"/>
    <x v="0"/>
  </r>
  <r>
    <n v="2021"/>
    <x v="0"/>
    <s v="Central Line-Associated Bloodstream Infection (CLABSI)"/>
    <n v="140000148"/>
    <x v="8"/>
    <x v="0"/>
    <s v="Long-Term Acute Care Hospital"/>
    <x v="4"/>
    <x v="6"/>
    <x v="9"/>
    <x v="0"/>
  </r>
  <r>
    <n v="2021"/>
    <x v="0"/>
    <s v="Central Line-Associated Bloodstream Infection (CLABSI)"/>
    <n v="630013913"/>
    <x v="9"/>
    <x v="0"/>
    <s v="Acute Care Hospital"/>
    <x v="0"/>
    <x v="2"/>
    <x v="10"/>
    <x v="0"/>
  </r>
  <r>
    <n v="2021"/>
    <x v="0"/>
    <s v="Central Line-Associated Bloodstream Infection (CLABSI)"/>
    <n v="630013913"/>
    <x v="9"/>
    <x v="0"/>
    <s v="Rehabilitation Hospital or Unit"/>
    <x v="2"/>
    <x v="2"/>
    <x v="11"/>
    <x v="1"/>
  </r>
  <r>
    <n v="2021"/>
    <x v="0"/>
    <s v="Central Line-Associated Bloodstream Infection (CLABSI)"/>
    <n v="140000041"/>
    <x v="10"/>
    <x v="0"/>
    <s v="Acute Care Hospital"/>
    <x v="3"/>
    <x v="8"/>
    <x v="12"/>
    <x v="0"/>
  </r>
  <r>
    <n v="2021"/>
    <x v="0"/>
    <s v="Central Line-Associated Bloodstream Infection (CLABSI)"/>
    <n v="140000797"/>
    <x v="11"/>
    <x v="0"/>
    <s v="Acute Care Hospital"/>
    <x v="1"/>
    <x v="0"/>
    <x v="13"/>
    <x v="0"/>
  </r>
  <r>
    <n v="2021"/>
    <x v="0"/>
    <s v="Central Line-Associated Bloodstream Infection (CLABSI)"/>
    <n v="140000014"/>
    <x v="12"/>
    <x v="0"/>
    <s v="Acute Care Hospital"/>
    <x v="5"/>
    <x v="7"/>
    <x v="14"/>
    <x v="2"/>
  </r>
  <r>
    <n v="2021"/>
    <x v="0"/>
    <s v="Central Line-Associated Bloodstream Infection (CLABSI)"/>
    <n v="140000118"/>
    <x v="13"/>
    <x v="0"/>
    <s v="Acute Care Hospital"/>
    <x v="6"/>
    <x v="4"/>
    <x v="15"/>
    <x v="0"/>
  </r>
  <r>
    <n v="2021"/>
    <x v="0"/>
    <s v="Central Line-Associated Bloodstream Infection (CLABSI)"/>
    <n v="30000108"/>
    <x v="14"/>
    <x v="1"/>
    <s v="Acute Care Hospital"/>
    <x v="0"/>
    <x v="8"/>
    <x v="16"/>
    <x v="0"/>
  </r>
  <r>
    <n v="2021"/>
    <x v="0"/>
    <s v="Central Line-Associated Bloodstream Infection (CLABSI)"/>
    <n v="230000013"/>
    <x v="15"/>
    <x v="2"/>
    <s v="Acute Care Hospital"/>
    <x v="6"/>
    <x v="9"/>
    <x v="17"/>
    <x v="2"/>
  </r>
  <r>
    <n v="2021"/>
    <x v="0"/>
    <s v="Central Line-Associated Bloodstream Infection (CLABSI)"/>
    <n v="230000405"/>
    <x v="16"/>
    <x v="2"/>
    <s v="Rehabilitation Hospital or Unit"/>
    <x v="7"/>
    <x v="2"/>
    <x v="18"/>
    <x v="0"/>
  </r>
  <r>
    <n v="2021"/>
    <x v="0"/>
    <s v="Central Line-Associated Bloodstream Infection (CLABSI)"/>
    <n v="230000001"/>
    <x v="17"/>
    <x v="2"/>
    <s v="Critical Access Hospital"/>
    <x v="8"/>
    <x v="2"/>
    <x v="19"/>
    <x v="1"/>
  </r>
  <r>
    <n v="2021"/>
    <x v="0"/>
    <s v="Central Line-Associated Bloodstream Infection (CLABSI)"/>
    <n v="230000014"/>
    <x v="18"/>
    <x v="2"/>
    <s v="Acute Care Hospital"/>
    <x v="3"/>
    <x v="2"/>
    <x v="20"/>
    <x v="0"/>
  </r>
  <r>
    <n v="2021"/>
    <x v="0"/>
    <s v="Central Line-Associated Bloodstream Infection (CLABSI)"/>
    <n v="30000120"/>
    <x v="19"/>
    <x v="3"/>
    <s v="Critical Access Hospital"/>
    <x v="8"/>
    <x v="2"/>
    <x v="21"/>
    <x v="1"/>
  </r>
  <r>
    <n v="2021"/>
    <x v="0"/>
    <s v="Central Line-Associated Bloodstream Infection (CLABSI)"/>
    <n v="230000259"/>
    <x v="20"/>
    <x v="4"/>
    <s v="Acute Care Hospital"/>
    <x v="0"/>
    <x v="2"/>
    <x v="11"/>
    <x v="1"/>
  </r>
  <r>
    <n v="2021"/>
    <x v="0"/>
    <s v="Central Line-Associated Bloodstream Infection (CLABSI)"/>
    <n v="140000195"/>
    <x v="21"/>
    <x v="5"/>
    <s v="Acute Care Hospital"/>
    <x v="1"/>
    <x v="2"/>
    <x v="22"/>
    <x v="0"/>
  </r>
  <r>
    <n v="2021"/>
    <x v="0"/>
    <s v="Central Line-Associated Bloodstream Infection (CLABSI)"/>
    <n v="140000196"/>
    <x v="22"/>
    <x v="5"/>
    <s v="Acute Care Hospital"/>
    <x v="1"/>
    <x v="10"/>
    <x v="23"/>
    <x v="0"/>
  </r>
  <r>
    <n v="2021"/>
    <x v="0"/>
    <s v="Central Line-Associated Bloodstream Infection (CLABSI)"/>
    <n v="140000187"/>
    <x v="23"/>
    <x v="5"/>
    <s v="Acute Care Hospital"/>
    <x v="1"/>
    <x v="11"/>
    <x v="24"/>
    <x v="0"/>
  </r>
  <r>
    <n v="2021"/>
    <x v="0"/>
    <s v="Central Line-Associated Bloodstream Infection (CLABSI)"/>
    <n v="140000187"/>
    <x v="23"/>
    <x v="5"/>
    <s v="Rehabilitation Hospital or Unit"/>
    <x v="2"/>
    <x v="2"/>
    <x v="25"/>
    <x v="1"/>
  </r>
  <r>
    <n v="2021"/>
    <x v="0"/>
    <s v="Central Line-Associated Bloodstream Infection (CLABSI)"/>
    <n v="630011203"/>
    <x v="24"/>
    <x v="5"/>
    <s v="Acute Care Hospital"/>
    <x v="1"/>
    <x v="4"/>
    <x v="26"/>
    <x v="0"/>
  </r>
  <r>
    <n v="2021"/>
    <x v="0"/>
    <s v="Central Line-Associated Bloodstream Infection (CLABSI)"/>
    <n v="140000191"/>
    <x v="25"/>
    <x v="5"/>
    <s v="Acute Care Hospital"/>
    <x v="1"/>
    <x v="8"/>
    <x v="27"/>
    <x v="0"/>
  </r>
  <r>
    <n v="2021"/>
    <x v="0"/>
    <s v="Central Line-Associated Bloodstream Infection (CLABSI)"/>
    <n v="140000190"/>
    <x v="26"/>
    <x v="5"/>
    <s v="Acute Care Hospital"/>
    <x v="6"/>
    <x v="11"/>
    <x v="28"/>
    <x v="3"/>
  </r>
  <r>
    <n v="2021"/>
    <x v="0"/>
    <s v="Central Line-Associated Bloodstream Infection (CLABSI)"/>
    <n v="140000704"/>
    <x v="27"/>
    <x v="5"/>
    <s v="Acute Care Hospital"/>
    <x v="0"/>
    <x v="8"/>
    <x v="29"/>
    <x v="0"/>
  </r>
  <r>
    <n v="2021"/>
    <x v="0"/>
    <s v="Central Line-Associated Bloodstream Infection (CLABSI)"/>
    <n v="140000016"/>
    <x v="28"/>
    <x v="5"/>
    <s v="Acute Care Hospital"/>
    <x v="3"/>
    <x v="0"/>
    <x v="30"/>
    <x v="0"/>
  </r>
  <r>
    <n v="2021"/>
    <x v="0"/>
    <s v="Central Line-Associated Bloodstream Infection (CLABSI)"/>
    <n v="110000049"/>
    <x v="29"/>
    <x v="6"/>
    <s v="Acute Care Hospital"/>
    <x v="0"/>
    <x v="2"/>
    <x v="31"/>
    <x v="0"/>
  </r>
  <r>
    <n v="2021"/>
    <x v="0"/>
    <s v="Central Line-Associated Bloodstream Infection (CLABSI)"/>
    <n v="110000049"/>
    <x v="29"/>
    <x v="6"/>
    <s v="Rehabilitation Hospital or Unit"/>
    <x v="2"/>
    <x v="2"/>
    <x v="32"/>
    <x v="1"/>
  </r>
  <r>
    <n v="2021"/>
    <x v="0"/>
    <s v="Central Line-Associated Bloodstream Infection (CLABSI)"/>
    <n v="30000114"/>
    <x v="30"/>
    <x v="7"/>
    <s v="Acute Care Hospital"/>
    <x v="0"/>
    <x v="2"/>
    <x v="33"/>
    <x v="0"/>
  </r>
  <r>
    <n v="2021"/>
    <x v="0"/>
    <s v="Central Line-Associated Bloodstream Infection (CLABSI)"/>
    <n v="30000121"/>
    <x v="31"/>
    <x v="7"/>
    <s v="Acute Care Hospital"/>
    <x v="0"/>
    <x v="2"/>
    <x v="34"/>
    <x v="0"/>
  </r>
  <r>
    <n v="2021"/>
    <x v="0"/>
    <s v="Central Line-Associated Bloodstream Infection (CLABSI)"/>
    <n v="40000124"/>
    <x v="32"/>
    <x v="8"/>
    <s v="Acute Care Hospital"/>
    <x v="0"/>
    <x v="2"/>
    <x v="35"/>
    <x v="0"/>
  </r>
  <r>
    <n v="2021"/>
    <x v="0"/>
    <s v="Central Line-Associated Bloodstream Infection (CLABSI)"/>
    <n v="40000122"/>
    <x v="33"/>
    <x v="8"/>
    <s v="Acute Care Hospital"/>
    <x v="0"/>
    <x v="9"/>
    <x v="36"/>
    <x v="0"/>
  </r>
  <r>
    <n v="2021"/>
    <x v="0"/>
    <s v="Central Line-Associated Bloodstream Infection (CLABSI)"/>
    <n v="40000095"/>
    <x v="34"/>
    <x v="8"/>
    <s v="Acute Care Hospital"/>
    <x v="1"/>
    <x v="12"/>
    <x v="37"/>
    <x v="0"/>
  </r>
  <r>
    <n v="2021"/>
    <x v="0"/>
    <s v="Central Line-Associated Bloodstream Infection (CLABSI)"/>
    <n v="40000096"/>
    <x v="35"/>
    <x v="8"/>
    <s v="Acute Care Hospital"/>
    <x v="0"/>
    <x v="2"/>
    <x v="38"/>
    <x v="1"/>
  </r>
  <r>
    <n v="2021"/>
    <x v="0"/>
    <s v="Central Line-Associated Bloodstream Infection (CLABSI)"/>
    <n v="40000101"/>
    <x v="36"/>
    <x v="8"/>
    <s v="Acute Care Hospital"/>
    <x v="1"/>
    <x v="13"/>
    <x v="39"/>
    <x v="3"/>
  </r>
  <r>
    <n v="2021"/>
    <x v="0"/>
    <s v="Central Line-Associated Bloodstream Infection (CLABSI)"/>
    <n v="40000101"/>
    <x v="36"/>
    <x v="8"/>
    <s v="Rehabilitation Hospital or Unit"/>
    <x v="2"/>
    <x v="2"/>
    <x v="40"/>
    <x v="0"/>
  </r>
  <r>
    <n v="2021"/>
    <x v="0"/>
    <s v="Central Line-Associated Bloodstream Infection (CLABSI)"/>
    <n v="40001397"/>
    <x v="37"/>
    <x v="8"/>
    <s v="Acute Care Hospital"/>
    <x v="1"/>
    <x v="14"/>
    <x v="41"/>
    <x v="0"/>
  </r>
  <r>
    <n v="2021"/>
    <x v="0"/>
    <s v="Central Line-Associated Bloodstream Infection (CLABSI)"/>
    <n v="40000254"/>
    <x v="38"/>
    <x v="8"/>
    <s v="Acute Care Hospital"/>
    <x v="0"/>
    <x v="2"/>
    <x v="42"/>
    <x v="1"/>
  </r>
  <r>
    <n v="2021"/>
    <x v="0"/>
    <s v="Central Line-Associated Bloodstream Infection (CLABSI)"/>
    <n v="40000949"/>
    <x v="39"/>
    <x v="8"/>
    <s v="Acute Care Hospital"/>
    <x v="3"/>
    <x v="7"/>
    <x v="43"/>
    <x v="0"/>
  </r>
  <r>
    <n v="2021"/>
    <x v="0"/>
    <s v="Central Line-Associated Bloodstream Infection (CLABSI)"/>
    <n v="40000126"/>
    <x v="40"/>
    <x v="8"/>
    <s v="Acute Care Hospital"/>
    <x v="1"/>
    <x v="15"/>
    <x v="44"/>
    <x v="0"/>
  </r>
  <r>
    <n v="2021"/>
    <x v="0"/>
    <s v="Central Line-Associated Bloodstream Infection (CLABSI)"/>
    <n v="40000613"/>
    <x v="41"/>
    <x v="8"/>
    <s v="Rehabilitation Hospital or Unit"/>
    <x v="7"/>
    <x v="2"/>
    <x v="45"/>
    <x v="0"/>
  </r>
  <r>
    <n v="2021"/>
    <x v="0"/>
    <s v="Central Line-Associated Bloodstream Infection (CLABSI)"/>
    <n v="230000006"/>
    <x v="42"/>
    <x v="9"/>
    <s v="Critical Access Hospital"/>
    <x v="8"/>
    <x v="2"/>
    <x v="46"/>
    <x v="1"/>
  </r>
  <r>
    <n v="2021"/>
    <x v="0"/>
    <s v="Central Line-Associated Bloodstream Infection (CLABSI)"/>
    <n v="110000057"/>
    <x v="43"/>
    <x v="10"/>
    <s v="Critical Access Hospital"/>
    <x v="8"/>
    <x v="2"/>
    <x v="38"/>
    <x v="1"/>
  </r>
  <r>
    <n v="2021"/>
    <x v="0"/>
    <s v="Central Line-Associated Bloodstream Infection (CLABSI)"/>
    <n v="110000021"/>
    <x v="44"/>
    <x v="10"/>
    <s v="Acute Care Hospital"/>
    <x v="0"/>
    <x v="2"/>
    <x v="47"/>
    <x v="0"/>
  </r>
  <r>
    <n v="2021"/>
    <x v="0"/>
    <s v="Central Line-Associated Bloodstream Infection (CLABSI)"/>
    <n v="110000045"/>
    <x v="45"/>
    <x v="10"/>
    <s v="Critical Access Hospital"/>
    <x v="8"/>
    <x v="2"/>
    <x v="48"/>
    <x v="1"/>
  </r>
  <r>
    <n v="2021"/>
    <x v="0"/>
    <s v="Central Line-Associated Bloodstream Infection (CLABSI)"/>
    <n v="110000067"/>
    <x v="46"/>
    <x v="10"/>
    <s v="Acute Care Hospital"/>
    <x v="1"/>
    <x v="0"/>
    <x v="49"/>
    <x v="0"/>
  </r>
  <r>
    <n v="2021"/>
    <x v="0"/>
    <s v="Central Line-Associated Bloodstream Infection (CLABSI)"/>
    <n v="110000069"/>
    <x v="47"/>
    <x v="10"/>
    <s v="Rehabilitation Hospital or Unit"/>
    <x v="7"/>
    <x v="2"/>
    <x v="50"/>
    <x v="1"/>
  </r>
  <r>
    <n v="2021"/>
    <x v="0"/>
    <s v="Central Line-Associated Bloodstream Infection (CLABSI)"/>
    <n v="90000040"/>
    <x v="48"/>
    <x v="11"/>
    <s v="Acute Care Hospital"/>
    <x v="3"/>
    <x v="16"/>
    <x v="51"/>
    <x v="3"/>
  </r>
  <r>
    <n v="2021"/>
    <x v="0"/>
    <s v="Central Line-Associated Bloodstream Infection (CLABSI)"/>
    <n v="90000146"/>
    <x v="49"/>
    <x v="11"/>
    <s v="Acute Care Hospital"/>
    <x v="0"/>
    <x v="17"/>
    <x v="52"/>
    <x v="3"/>
  </r>
  <r>
    <n v="2021"/>
    <x v="0"/>
    <s v="Central Line-Associated Bloodstream Infection (CLABSI)"/>
    <n v="240000037"/>
    <x v="50"/>
    <x v="12"/>
    <s v="Critical Access Hospital"/>
    <x v="8"/>
    <x v="2"/>
    <x v="53"/>
    <x v="1"/>
  </r>
  <r>
    <n v="2021"/>
    <x v="0"/>
    <s v="Central Line-Associated Bloodstream Infection (CLABSI)"/>
    <n v="240000102"/>
    <x v="51"/>
    <x v="12"/>
    <s v="Critical Access Hospital"/>
    <x v="8"/>
    <x v="18"/>
    <x v="54"/>
    <x v="1"/>
  </r>
  <r>
    <n v="2021"/>
    <x v="0"/>
    <s v="Central Line-Associated Bloodstream Infection (CLABSI)"/>
    <n v="120000411"/>
    <x v="52"/>
    <x v="13"/>
    <s v="Acute Care Hospital"/>
    <x v="1"/>
    <x v="12"/>
    <x v="55"/>
    <x v="0"/>
  </r>
  <r>
    <n v="2021"/>
    <x v="0"/>
    <s v="Central Line-Associated Bloodstream Infection (CLABSI)"/>
    <n v="120000336"/>
    <x v="53"/>
    <x v="13"/>
    <s v="Acute Care Hospital"/>
    <x v="0"/>
    <x v="8"/>
    <x v="56"/>
    <x v="0"/>
  </r>
  <r>
    <n v="2021"/>
    <x v="0"/>
    <s v="Central Line-Associated Bloodstream Infection (CLABSI)"/>
    <n v="120000413"/>
    <x v="54"/>
    <x v="13"/>
    <s v="Critical Access Hospital"/>
    <x v="8"/>
    <x v="9"/>
    <x v="57"/>
    <x v="0"/>
  </r>
  <r>
    <n v="2021"/>
    <x v="0"/>
    <s v="Central Line-Associated Bloodstream Infection (CLABSI)"/>
    <n v="120001330"/>
    <x v="55"/>
    <x v="13"/>
    <s v="Acute Care Hospital"/>
    <x v="0"/>
    <x v="19"/>
    <x v="58"/>
    <x v="3"/>
  </r>
  <r>
    <n v="2021"/>
    <x v="0"/>
    <s v="Central Line-Associated Bloodstream Infection (CLABSI)"/>
    <n v="120000338"/>
    <x v="56"/>
    <x v="13"/>
    <s v="Acute Care Hospital"/>
    <x v="6"/>
    <x v="17"/>
    <x v="59"/>
    <x v="0"/>
  </r>
  <r>
    <n v="2021"/>
    <x v="0"/>
    <s v="Central Line-Associated Bloodstream Infection (CLABSI)"/>
    <n v="120000555"/>
    <x v="57"/>
    <x v="13"/>
    <s v="Rehabilitation Hospital or Unit"/>
    <x v="7"/>
    <x v="2"/>
    <x v="60"/>
    <x v="0"/>
  </r>
  <r>
    <n v="2021"/>
    <x v="0"/>
    <s v="Central Line-Associated Bloodstream Infection (CLABSI)"/>
    <n v="120000319"/>
    <x v="58"/>
    <x v="13"/>
    <s v="Acute Care Hospital"/>
    <x v="0"/>
    <x v="2"/>
    <x v="61"/>
    <x v="0"/>
  </r>
  <r>
    <n v="2021"/>
    <x v="0"/>
    <s v="Central Line-Associated Bloodstream Infection (CLABSI)"/>
    <n v="120000342"/>
    <x v="59"/>
    <x v="13"/>
    <s v="Acute Care Hospital"/>
    <x v="1"/>
    <x v="20"/>
    <x v="62"/>
    <x v="3"/>
  </r>
  <r>
    <n v="2021"/>
    <x v="0"/>
    <s v="Central Line-Associated Bloodstream Infection (CLABSI)"/>
    <n v="120000344"/>
    <x v="60"/>
    <x v="13"/>
    <s v="Critical Access Hospital"/>
    <x v="8"/>
    <x v="2"/>
    <x v="63"/>
    <x v="1"/>
  </r>
  <r>
    <n v="2021"/>
    <x v="0"/>
    <s v="Central Line-Associated Bloodstream Infection (CLABSI)"/>
    <n v="120000404"/>
    <x v="61"/>
    <x v="13"/>
    <s v="Acute Care Hospital"/>
    <x v="0"/>
    <x v="5"/>
    <x v="64"/>
    <x v="0"/>
  </r>
  <r>
    <n v="2021"/>
    <x v="0"/>
    <s v="Central Line-Associated Bloodstream Infection (CLABSI)"/>
    <n v="120000701"/>
    <x v="62"/>
    <x v="13"/>
    <s v="Acute Care Hospital"/>
    <x v="0"/>
    <x v="0"/>
    <x v="65"/>
    <x v="0"/>
  </r>
  <r>
    <n v="2021"/>
    <x v="0"/>
    <s v="Central Line-Associated Bloodstream Infection (CLABSI)"/>
    <n v="120000409"/>
    <x v="63"/>
    <x v="13"/>
    <s v="Critical Access Hospital"/>
    <x v="8"/>
    <x v="0"/>
    <x v="66"/>
    <x v="0"/>
  </r>
  <r>
    <n v="2021"/>
    <x v="0"/>
    <s v="Central Line-Associated Bloodstream Infection (CLABSI)"/>
    <n v="630012960"/>
    <x v="64"/>
    <x v="14"/>
    <s v="Acute Care Hospital"/>
    <x v="3"/>
    <x v="5"/>
    <x v="67"/>
    <x v="0"/>
  </r>
  <r>
    <n v="2021"/>
    <x v="0"/>
    <s v="Central Line-Associated Bloodstream Infection (CLABSI)"/>
    <n v="110000044"/>
    <x v="65"/>
    <x v="15"/>
    <s v="Critical Access Hospital"/>
    <x v="8"/>
    <x v="2"/>
    <x v="46"/>
    <x v="1"/>
  </r>
  <r>
    <n v="2021"/>
    <x v="0"/>
    <s v="Central Line-Associated Bloodstream Infection (CLABSI)"/>
    <n v="110000019"/>
    <x v="66"/>
    <x v="15"/>
    <s v="Critical Access Hospital"/>
    <x v="8"/>
    <x v="9"/>
    <x v="57"/>
    <x v="0"/>
  </r>
  <r>
    <n v="2021"/>
    <x v="0"/>
    <s v="Central Line-Associated Bloodstream Infection (CLABSI)"/>
    <n v="230000008"/>
    <x v="67"/>
    <x v="16"/>
    <s v="Critical Access Hospital"/>
    <x v="8"/>
    <x v="2"/>
    <x v="50"/>
    <x v="1"/>
  </r>
  <r>
    <n v="2021"/>
    <x v="0"/>
    <s v="Central Line-Associated Bloodstream Infection (CLABSI)"/>
    <n v="930000059"/>
    <x v="68"/>
    <x v="17"/>
    <s v="Acute Care Hospital"/>
    <x v="1"/>
    <x v="1"/>
    <x v="68"/>
    <x v="0"/>
  </r>
  <r>
    <n v="2021"/>
    <x v="0"/>
    <s v="Central Line-Associated Bloodstream Infection (CLABSI)"/>
    <n v="930000059"/>
    <x v="68"/>
    <x v="17"/>
    <s v="Rehabilitation Hospital or Unit"/>
    <x v="2"/>
    <x v="2"/>
    <x v="69"/>
    <x v="1"/>
  </r>
  <r>
    <n v="2021"/>
    <x v="0"/>
    <s v="Central Line-Associated Bloodstream Infection (CLABSI)"/>
    <n v="930000191"/>
    <x v="69"/>
    <x v="17"/>
    <s v="Acute Care Hospital"/>
    <x v="1"/>
    <x v="4"/>
    <x v="70"/>
    <x v="0"/>
  </r>
  <r>
    <n v="2021"/>
    <x v="0"/>
    <s v="Central Line-Associated Bloodstream Infection (CLABSI)"/>
    <n v="930000191"/>
    <x v="69"/>
    <x v="17"/>
    <s v="Rehabilitation Hospital or Unit"/>
    <x v="2"/>
    <x v="2"/>
    <x v="50"/>
    <x v="1"/>
  </r>
  <r>
    <n v="2021"/>
    <x v="0"/>
    <s v="Central Line-Associated Bloodstream Infection (CLABSI)"/>
    <n v="930000005"/>
    <x v="70"/>
    <x v="17"/>
    <s v="Acute Care Hospital"/>
    <x v="3"/>
    <x v="9"/>
    <x v="71"/>
    <x v="0"/>
  </r>
  <r>
    <n v="2021"/>
    <x v="0"/>
    <s v="Central Line-Associated Bloodstream Infection (CLABSI)"/>
    <n v="930000005"/>
    <x v="70"/>
    <x v="17"/>
    <s v="Rehabilitation Hospital or Unit"/>
    <x v="2"/>
    <x v="2"/>
    <x v="53"/>
    <x v="1"/>
  </r>
  <r>
    <n v="2021"/>
    <x v="0"/>
    <s v="Central Line-Associated Bloodstream Infection (CLABSI)"/>
    <n v="930000008"/>
    <x v="71"/>
    <x v="17"/>
    <s v="Acute Care Hospital"/>
    <x v="1"/>
    <x v="16"/>
    <x v="72"/>
    <x v="3"/>
  </r>
  <r>
    <n v="2021"/>
    <x v="0"/>
    <s v="Central Line-Associated Bloodstream Infection (CLABSI)"/>
    <n v="930000014"/>
    <x v="72"/>
    <x v="17"/>
    <s v="Long-Term Acute Care Hospital"/>
    <x v="4"/>
    <x v="19"/>
    <x v="73"/>
    <x v="0"/>
  </r>
  <r>
    <n v="2021"/>
    <x v="0"/>
    <s v="Central Line-Associated Bloodstream Infection (CLABSI)"/>
    <n v="930000012"/>
    <x v="73"/>
    <x v="17"/>
    <s v="Acute Care Hospital"/>
    <x v="3"/>
    <x v="2"/>
    <x v="74"/>
    <x v="2"/>
  </r>
  <r>
    <n v="2021"/>
    <x v="0"/>
    <s v="Central Line-Associated Bloodstream Infection (CLABSI)"/>
    <n v="930000002"/>
    <x v="74"/>
    <x v="17"/>
    <s v="Acute Care Hospital"/>
    <x v="1"/>
    <x v="3"/>
    <x v="75"/>
    <x v="0"/>
  </r>
  <r>
    <n v="2021"/>
    <x v="0"/>
    <s v="Central Line-Associated Bloodstream Infection (CLABSI)"/>
    <n v="930000031"/>
    <x v="75"/>
    <x v="17"/>
    <s v="Rehabilitation Hospital or Unit"/>
    <x v="7"/>
    <x v="9"/>
    <x v="12"/>
    <x v="0"/>
  </r>
  <r>
    <n v="2021"/>
    <x v="0"/>
    <s v="Central Line-Associated Bloodstream Infection (CLABSI)"/>
    <n v="930000020"/>
    <x v="76"/>
    <x v="17"/>
    <s v="Rehabilitation Hospital or Unit"/>
    <x v="2"/>
    <x v="2"/>
    <x v="76"/>
    <x v="0"/>
  </r>
  <r>
    <n v="2021"/>
    <x v="0"/>
    <s v="Central Line-Associated Bloodstream Infection (CLABSI)"/>
    <n v="930000020"/>
    <x v="77"/>
    <x v="17"/>
    <s v="Acute Care Hospital"/>
    <x v="0"/>
    <x v="2"/>
    <x v="47"/>
    <x v="0"/>
  </r>
  <r>
    <n v="2021"/>
    <x v="0"/>
    <s v="Central Line-Associated Bloodstream Infection (CLABSI)"/>
    <n v="930000013"/>
    <x v="78"/>
    <x v="17"/>
    <s v="Critical Access Hospital"/>
    <x v="8"/>
    <x v="2"/>
    <x v="38"/>
    <x v="1"/>
  </r>
  <r>
    <n v="2021"/>
    <x v="0"/>
    <s v="Central Line-Associated Bloodstream Infection (CLABSI)"/>
    <n v="930000044"/>
    <x v="79"/>
    <x v="17"/>
    <s v="Acute Care Hospital"/>
    <x v="3"/>
    <x v="2"/>
    <x v="77"/>
    <x v="2"/>
  </r>
  <r>
    <n v="2021"/>
    <x v="0"/>
    <s v="Central Line-Associated Bloodstream Infection (CLABSI)"/>
    <n v="930000004"/>
    <x v="80"/>
    <x v="17"/>
    <s v="Acute Care Hospital"/>
    <x v="1"/>
    <x v="21"/>
    <x v="78"/>
    <x v="0"/>
  </r>
  <r>
    <n v="2021"/>
    <x v="0"/>
    <s v="Central Line-Associated Bloodstream Infection (CLABSI)"/>
    <n v="930000022"/>
    <x v="81"/>
    <x v="17"/>
    <s v="Acute Care Hospital"/>
    <x v="3"/>
    <x v="3"/>
    <x v="79"/>
    <x v="2"/>
  </r>
  <r>
    <n v="2021"/>
    <x v="0"/>
    <s v="Central Line-Associated Bloodstream Infection (CLABSI)"/>
    <n v="930000022"/>
    <x v="81"/>
    <x v="17"/>
    <s v="Rehabilitation Hospital or Unit"/>
    <x v="2"/>
    <x v="2"/>
    <x v="40"/>
    <x v="0"/>
  </r>
  <r>
    <n v="2021"/>
    <x v="0"/>
    <s v="Central Line-Associated Bloodstream Infection (CLABSI)"/>
    <n v="930000034"/>
    <x v="82"/>
    <x v="17"/>
    <s v="Acute Care Hospital"/>
    <x v="5"/>
    <x v="22"/>
    <x v="80"/>
    <x v="2"/>
  </r>
  <r>
    <n v="2021"/>
    <x v="0"/>
    <s v="Central Line-Associated Bloodstream Infection (CLABSI)"/>
    <n v="930000036"/>
    <x v="83"/>
    <x v="17"/>
    <s v="Acute Care Hospital"/>
    <x v="3"/>
    <x v="23"/>
    <x v="81"/>
    <x v="0"/>
  </r>
  <r>
    <n v="2021"/>
    <x v="0"/>
    <s v="Central Line-Associated Bloodstream Infection (CLABSI)"/>
    <n v="930000038"/>
    <x v="84"/>
    <x v="17"/>
    <s v="Acute Care Hospital"/>
    <x v="0"/>
    <x v="0"/>
    <x v="82"/>
    <x v="0"/>
  </r>
  <r>
    <n v="2021"/>
    <x v="0"/>
    <s v="Central Line-Associated Bloodstream Infection (CLABSI)"/>
    <n v="930000114"/>
    <x v="85"/>
    <x v="17"/>
    <s v="Acute Care Hospital"/>
    <x v="3"/>
    <x v="9"/>
    <x v="83"/>
    <x v="0"/>
  </r>
  <r>
    <n v="2021"/>
    <x v="0"/>
    <s v="Central Line-Associated Bloodstream Infection (CLABSI)"/>
    <n v="930000040"/>
    <x v="86"/>
    <x v="17"/>
    <s v="Acute Care Hospital"/>
    <x v="0"/>
    <x v="9"/>
    <x v="84"/>
    <x v="0"/>
  </r>
  <r>
    <n v="2021"/>
    <x v="0"/>
    <s v="Central Line-Associated Bloodstream Infection (CLABSI)"/>
    <n v="930000158"/>
    <x v="87"/>
    <x v="17"/>
    <s v="Acute Care Hospital"/>
    <x v="0"/>
    <x v="2"/>
    <x v="38"/>
    <x v="1"/>
  </r>
  <r>
    <n v="2021"/>
    <x v="0"/>
    <s v="Central Line-Associated Bloodstream Infection (CLABSI)"/>
    <n v="930000053"/>
    <x v="88"/>
    <x v="17"/>
    <s v="Acute Care Hospital"/>
    <x v="3"/>
    <x v="8"/>
    <x v="85"/>
    <x v="0"/>
  </r>
  <r>
    <n v="2021"/>
    <x v="0"/>
    <s v="Central Line-Associated Bloodstream Infection (CLABSI)"/>
    <n v="930000056"/>
    <x v="89"/>
    <x v="17"/>
    <s v="Acute Care Hospital"/>
    <x v="1"/>
    <x v="2"/>
    <x v="86"/>
    <x v="2"/>
  </r>
  <r>
    <n v="2021"/>
    <x v="0"/>
    <s v="Central Line-Associated Bloodstream Infection (CLABSI)"/>
    <n v="930000070"/>
    <x v="90"/>
    <x v="17"/>
    <s v="Acute Care Hospital"/>
    <x v="1"/>
    <x v="2"/>
    <x v="87"/>
    <x v="2"/>
  </r>
  <r>
    <n v="2021"/>
    <x v="0"/>
    <s v="Central Line-Associated Bloodstream Infection (CLABSI)"/>
    <n v="930000132"/>
    <x v="91"/>
    <x v="17"/>
    <s v="Acute Care Hospital"/>
    <x v="1"/>
    <x v="9"/>
    <x v="88"/>
    <x v="2"/>
  </r>
  <r>
    <n v="2021"/>
    <x v="0"/>
    <s v="Central Line-Associated Bloodstream Infection (CLABSI)"/>
    <n v="930000132"/>
    <x v="91"/>
    <x v="17"/>
    <s v="Rehabilitation Hospital or Unit"/>
    <x v="2"/>
    <x v="2"/>
    <x v="89"/>
    <x v="0"/>
  </r>
  <r>
    <n v="2021"/>
    <x v="0"/>
    <s v="Central Line-Associated Bloodstream Infection (CLABSI)"/>
    <n v="930000054"/>
    <x v="92"/>
    <x v="17"/>
    <s v="Acute Care Hospital"/>
    <x v="3"/>
    <x v="2"/>
    <x v="90"/>
    <x v="0"/>
  </r>
  <r>
    <n v="2021"/>
    <x v="0"/>
    <s v="Central Line-Associated Bloodstream Infection (CLABSI)"/>
    <n v="930000054"/>
    <x v="92"/>
    <x v="17"/>
    <s v="Rehabilitation Hospital or Unit"/>
    <x v="2"/>
    <x v="2"/>
    <x v="38"/>
    <x v="1"/>
  </r>
  <r>
    <n v="2021"/>
    <x v="0"/>
    <s v="Central Line-Associated Bloodstream Infection (CLABSI)"/>
    <n v="930000058"/>
    <x v="93"/>
    <x v="17"/>
    <s v="Acute Care Hospital"/>
    <x v="3"/>
    <x v="14"/>
    <x v="4"/>
    <x v="0"/>
  </r>
  <r>
    <n v="2021"/>
    <x v="0"/>
    <s v="Central Line-Associated Bloodstream Infection (CLABSI)"/>
    <n v="930000058"/>
    <x v="93"/>
    <x v="17"/>
    <s v="Rehabilitation Hospital or Unit"/>
    <x v="2"/>
    <x v="2"/>
    <x v="91"/>
    <x v="1"/>
  </r>
  <r>
    <n v="2021"/>
    <x v="0"/>
    <s v="Central Line-Associated Bloodstream Infection (CLABSI)"/>
    <n v="930000093"/>
    <x v="94"/>
    <x v="17"/>
    <s v="Acute Care Hospital"/>
    <x v="6"/>
    <x v="8"/>
    <x v="92"/>
    <x v="0"/>
  </r>
  <r>
    <n v="2021"/>
    <x v="0"/>
    <s v="Central Line-Associated Bloodstream Infection (CLABSI)"/>
    <n v="930000093"/>
    <x v="94"/>
    <x v="17"/>
    <s v="Rehabilitation Hospital or Unit"/>
    <x v="2"/>
    <x v="2"/>
    <x v="42"/>
    <x v="1"/>
  </r>
  <r>
    <n v="2021"/>
    <x v="0"/>
    <s v="Central Line-Associated Bloodstream Infection (CLABSI)"/>
    <n v="930000068"/>
    <x v="95"/>
    <x v="17"/>
    <s v="Acute Care Hospital"/>
    <x v="6"/>
    <x v="14"/>
    <x v="93"/>
    <x v="0"/>
  </r>
  <r>
    <n v="2021"/>
    <x v="0"/>
    <s v="Central Line-Associated Bloodstream Infection (CLABSI)"/>
    <n v="930000068"/>
    <x v="95"/>
    <x v="17"/>
    <s v="Rehabilitation Hospital or Unit"/>
    <x v="2"/>
    <x v="2"/>
    <x v="94"/>
    <x v="1"/>
  </r>
  <r>
    <n v="2021"/>
    <x v="0"/>
    <s v="Central Line-Associated Bloodstream Infection (CLABSI)"/>
    <n v="930000062"/>
    <x v="96"/>
    <x v="17"/>
    <s v="Acute Care Hospital"/>
    <x v="0"/>
    <x v="2"/>
    <x v="95"/>
    <x v="2"/>
  </r>
  <r>
    <n v="2021"/>
    <x v="0"/>
    <s v="Central Line-Associated Bloodstream Infection (CLABSI)"/>
    <n v="930000063"/>
    <x v="97"/>
    <x v="17"/>
    <s v="Acute Care Hospital"/>
    <x v="6"/>
    <x v="24"/>
    <x v="96"/>
    <x v="3"/>
  </r>
  <r>
    <n v="2021"/>
    <x v="0"/>
    <s v="Central Line-Associated Bloodstream Infection (CLABSI)"/>
    <n v="930000063"/>
    <x v="97"/>
    <x v="17"/>
    <s v="Rehabilitation Hospital or Unit"/>
    <x v="2"/>
    <x v="2"/>
    <x v="48"/>
    <x v="1"/>
  </r>
  <r>
    <n v="2021"/>
    <x v="0"/>
    <s v="Central Line-Associated Bloodstream Infection (CLABSI)"/>
    <n v="930000065"/>
    <x v="98"/>
    <x v="17"/>
    <s v="Acute Care Hospital"/>
    <x v="6"/>
    <x v="5"/>
    <x v="97"/>
    <x v="0"/>
  </r>
  <r>
    <n v="2021"/>
    <x v="0"/>
    <s v="Central Line-Associated Bloodstream Infection (CLABSI)"/>
    <n v="930000065"/>
    <x v="98"/>
    <x v="17"/>
    <s v="Rehabilitation Hospital or Unit"/>
    <x v="2"/>
    <x v="2"/>
    <x v="11"/>
    <x v="1"/>
  </r>
  <r>
    <n v="2021"/>
    <x v="0"/>
    <s v="Central Line-Associated Bloodstream Infection (CLABSI)"/>
    <n v="930000026"/>
    <x v="99"/>
    <x v="17"/>
    <s v="Acute Care Hospital"/>
    <x v="6"/>
    <x v="3"/>
    <x v="98"/>
    <x v="2"/>
  </r>
  <r>
    <n v="2021"/>
    <x v="0"/>
    <s v="Central Line-Associated Bloodstream Infection (CLABSI)"/>
    <n v="930000026"/>
    <x v="99"/>
    <x v="17"/>
    <s v="Rehabilitation Hospital or Unit"/>
    <x v="2"/>
    <x v="2"/>
    <x v="25"/>
    <x v="1"/>
  </r>
  <r>
    <n v="2021"/>
    <x v="0"/>
    <s v="Central Line-Associated Bloodstream Infection (CLABSI)"/>
    <n v="930001543"/>
    <x v="100"/>
    <x v="17"/>
    <s v="Acute Care Hospital"/>
    <x v="1"/>
    <x v="0"/>
    <x v="99"/>
    <x v="0"/>
  </r>
  <r>
    <n v="2021"/>
    <x v="0"/>
    <s v="Central Line-Associated Bloodstream Infection (CLABSI)"/>
    <n v="930000074"/>
    <x v="101"/>
    <x v="17"/>
    <s v="Acute Care Hospital"/>
    <x v="1"/>
    <x v="11"/>
    <x v="100"/>
    <x v="3"/>
  </r>
  <r>
    <n v="2021"/>
    <x v="0"/>
    <s v="Central Line-Associated Bloodstream Infection (CLABSI)"/>
    <n v="930000072"/>
    <x v="102"/>
    <x v="17"/>
    <s v="Acute Care Hospital"/>
    <x v="1"/>
    <x v="15"/>
    <x v="101"/>
    <x v="0"/>
  </r>
  <r>
    <n v="2021"/>
    <x v="0"/>
    <s v="Central Line-Associated Bloodstream Infection (CLABSI)"/>
    <n v="930000050"/>
    <x v="103"/>
    <x v="17"/>
    <s v="Acute Care Hospital"/>
    <x v="1"/>
    <x v="17"/>
    <x v="102"/>
    <x v="0"/>
  </r>
  <r>
    <n v="2021"/>
    <x v="0"/>
    <s v="Central Line-Associated Bloodstream Infection (CLABSI)"/>
    <n v="930000071"/>
    <x v="104"/>
    <x v="17"/>
    <s v="Acute Care Hospital"/>
    <x v="1"/>
    <x v="17"/>
    <x v="103"/>
    <x v="0"/>
  </r>
  <r>
    <n v="2021"/>
    <x v="0"/>
    <s v="Central Line-Associated Bloodstream Infection (CLABSI)"/>
    <n v="930000076"/>
    <x v="105"/>
    <x v="17"/>
    <s v="Acute Care Hospital"/>
    <x v="1"/>
    <x v="17"/>
    <x v="104"/>
    <x v="0"/>
  </r>
  <r>
    <n v="2021"/>
    <x v="0"/>
    <s v="Central Line-Associated Bloodstream Infection (CLABSI)"/>
    <n v="930000290"/>
    <x v="106"/>
    <x v="17"/>
    <s v="Acute Care Hospital"/>
    <x v="1"/>
    <x v="17"/>
    <x v="105"/>
    <x v="3"/>
  </r>
  <r>
    <n v="2021"/>
    <x v="0"/>
    <s v="Central Line-Associated Bloodstream Infection (CLABSI)"/>
    <n v="930000912"/>
    <x v="107"/>
    <x v="17"/>
    <s v="Acute Care Hospital"/>
    <x v="1"/>
    <x v="25"/>
    <x v="106"/>
    <x v="2"/>
  </r>
  <r>
    <n v="2021"/>
    <x v="0"/>
    <s v="Central Line-Associated Bloodstream Infection (CLABSI)"/>
    <n v="930000912"/>
    <x v="107"/>
    <x v="17"/>
    <s v="Rehabilitation Hospital or Unit"/>
    <x v="2"/>
    <x v="0"/>
    <x v="48"/>
    <x v="1"/>
  </r>
  <r>
    <n v="2021"/>
    <x v="0"/>
    <s v="Central Line-Associated Bloodstream Infection (CLABSI)"/>
    <n v="930000033"/>
    <x v="108"/>
    <x v="17"/>
    <s v="Long-Term Acute Care Hospital"/>
    <x v="4"/>
    <x v="17"/>
    <x v="107"/>
    <x v="0"/>
  </r>
  <r>
    <n v="2021"/>
    <x v="0"/>
    <s v="Central Line-Associated Bloodstream Infection (CLABSI)"/>
    <n v="930000144"/>
    <x v="109"/>
    <x v="17"/>
    <s v="Long-Term Acute Care Hospital"/>
    <x v="4"/>
    <x v="10"/>
    <x v="108"/>
    <x v="0"/>
  </r>
  <r>
    <n v="2021"/>
    <x v="0"/>
    <s v="Central Line-Associated Bloodstream Infection (CLABSI)"/>
    <n v="930000089"/>
    <x v="110"/>
    <x v="17"/>
    <s v="Long-Term Acute Care Hospital"/>
    <x v="4"/>
    <x v="26"/>
    <x v="109"/>
    <x v="0"/>
  </r>
  <r>
    <n v="2021"/>
    <x v="0"/>
    <s v="Central Line-Associated Bloodstream Infection (CLABSI)"/>
    <n v="930000088"/>
    <x v="111"/>
    <x v="17"/>
    <s v="Long-Term Acute Care Hospital"/>
    <x v="4"/>
    <x v="27"/>
    <x v="110"/>
    <x v="3"/>
  </r>
  <r>
    <n v="2021"/>
    <x v="0"/>
    <s v="Central Line-Associated Bloodstream Infection (CLABSI)"/>
    <n v="930000042"/>
    <x v="112"/>
    <x v="17"/>
    <s v="Long-Term Acute Care Hospital"/>
    <x v="4"/>
    <x v="19"/>
    <x v="111"/>
    <x v="0"/>
  </r>
  <r>
    <n v="2021"/>
    <x v="0"/>
    <s v="Central Line-Associated Bloodstream Infection (CLABSI)"/>
    <n v="930000039"/>
    <x v="113"/>
    <x v="17"/>
    <s v="Long-Term Acute Care Hospital"/>
    <x v="4"/>
    <x v="16"/>
    <x v="112"/>
    <x v="3"/>
  </r>
  <r>
    <n v="2021"/>
    <x v="0"/>
    <s v="Central Line-Associated Bloodstream Infection (CLABSI)"/>
    <n v="930000035"/>
    <x v="114"/>
    <x v="17"/>
    <s v="Acute Care Hospital"/>
    <x v="0"/>
    <x v="9"/>
    <x v="113"/>
    <x v="0"/>
  </r>
  <r>
    <n v="2021"/>
    <x v="0"/>
    <s v="Central Line-Associated Bloodstream Infection (CLABSI)"/>
    <n v="60000040"/>
    <x v="115"/>
    <x v="17"/>
    <s v="Acute Care Hospital"/>
    <x v="1"/>
    <x v="26"/>
    <x v="114"/>
    <x v="2"/>
  </r>
  <r>
    <n v="2021"/>
    <x v="0"/>
    <s v="Central Line-Associated Bloodstream Infection (CLABSI)"/>
    <n v="60000027"/>
    <x v="116"/>
    <x v="17"/>
    <s v="Acute Care Hospital"/>
    <x v="1"/>
    <x v="28"/>
    <x v="115"/>
    <x v="3"/>
  </r>
  <r>
    <n v="2021"/>
    <x v="0"/>
    <s v="Central Line-Associated Bloodstream Infection (CLABSI)"/>
    <n v="60000038"/>
    <x v="117"/>
    <x v="17"/>
    <s v="Acute Care Hospital"/>
    <x v="1"/>
    <x v="14"/>
    <x v="116"/>
    <x v="0"/>
  </r>
  <r>
    <n v="2021"/>
    <x v="0"/>
    <s v="Central Line-Associated Bloodstream Infection (CLABSI)"/>
    <n v="60000028"/>
    <x v="118"/>
    <x v="17"/>
    <s v="Acute Care Hospital"/>
    <x v="3"/>
    <x v="2"/>
    <x v="117"/>
    <x v="2"/>
  </r>
  <r>
    <n v="2021"/>
    <x v="0"/>
    <s v="Central Line-Associated Bloodstream Infection (CLABSI)"/>
    <n v="60000028"/>
    <x v="118"/>
    <x v="17"/>
    <s v="Rehabilitation Hospital or Unit"/>
    <x v="2"/>
    <x v="2"/>
    <x v="118"/>
    <x v="0"/>
  </r>
  <r>
    <n v="2021"/>
    <x v="0"/>
    <s v="Central Line-Associated Bloodstream Infection (CLABSI)"/>
    <n v="930000047"/>
    <x v="119"/>
    <x v="17"/>
    <s v="Acute Care Hospital"/>
    <x v="3"/>
    <x v="1"/>
    <x v="119"/>
    <x v="0"/>
  </r>
  <r>
    <n v="2021"/>
    <x v="0"/>
    <s v="Central Line-Associated Bloodstream Infection (CLABSI)"/>
    <n v="930000085"/>
    <x v="120"/>
    <x v="17"/>
    <s v="Acute Care Hospital"/>
    <x v="0"/>
    <x v="2"/>
    <x v="83"/>
    <x v="0"/>
  </r>
  <r>
    <n v="2021"/>
    <x v="0"/>
    <s v="Central Line-Associated Bloodstream Infection (CLABSI)"/>
    <n v="60000035"/>
    <x v="121"/>
    <x v="17"/>
    <s v="Acute Care Hospital"/>
    <x v="3"/>
    <x v="2"/>
    <x v="120"/>
    <x v="0"/>
  </r>
  <r>
    <n v="2021"/>
    <x v="0"/>
    <s v="Central Line-Associated Bloodstream Infection (CLABSI)"/>
    <n v="930000092"/>
    <x v="122"/>
    <x v="17"/>
    <s v="Acute Care Hospital"/>
    <x v="0"/>
    <x v="4"/>
    <x v="121"/>
    <x v="0"/>
  </r>
  <r>
    <n v="2021"/>
    <x v="0"/>
    <s v="Central Line-Associated Bloodstream Infection (CLABSI)"/>
    <n v="930000095"/>
    <x v="123"/>
    <x v="17"/>
    <s v="Acute Care Hospital"/>
    <x v="1"/>
    <x v="20"/>
    <x v="122"/>
    <x v="0"/>
  </r>
  <r>
    <n v="2021"/>
    <x v="0"/>
    <s v="Central Line-Associated Bloodstream Infection (CLABSI)"/>
    <n v="930000095"/>
    <x v="123"/>
    <x v="17"/>
    <s v="Rehabilitation Hospital or Unit"/>
    <x v="2"/>
    <x v="2"/>
    <x v="46"/>
    <x v="1"/>
  </r>
  <r>
    <n v="2021"/>
    <x v="0"/>
    <s v="Central Line-Associated Bloodstream Infection (CLABSI)"/>
    <n v="930001709"/>
    <x v="124"/>
    <x v="17"/>
    <s v="Acute Care Hospital"/>
    <x v="5"/>
    <x v="19"/>
    <x v="123"/>
    <x v="0"/>
  </r>
  <r>
    <n v="2021"/>
    <x v="0"/>
    <s v="Central Line-Associated Bloodstream Infection (CLABSI)"/>
    <n v="930000096"/>
    <x v="125"/>
    <x v="17"/>
    <s v="Acute Care Hospital"/>
    <x v="6"/>
    <x v="14"/>
    <x v="97"/>
    <x v="0"/>
  </r>
  <r>
    <n v="2021"/>
    <x v="0"/>
    <s v="Central Line-Associated Bloodstream Infection (CLABSI)"/>
    <n v="930000096"/>
    <x v="125"/>
    <x v="17"/>
    <s v="Rehabilitation Hospital or Unit"/>
    <x v="2"/>
    <x v="2"/>
    <x v="124"/>
    <x v="0"/>
  </r>
  <r>
    <n v="2021"/>
    <x v="0"/>
    <s v="Central Line-Associated Bloodstream Infection (CLABSI)"/>
    <n v="930000027"/>
    <x v="126"/>
    <x v="17"/>
    <s v="Acute Care Hospital"/>
    <x v="3"/>
    <x v="8"/>
    <x v="125"/>
    <x v="0"/>
  </r>
  <r>
    <n v="2021"/>
    <x v="0"/>
    <s v="Central Line-Associated Bloodstream Infection (CLABSI)"/>
    <n v="930000107"/>
    <x v="127"/>
    <x v="17"/>
    <s v="Long-Term Acute Care Hospital"/>
    <x v="4"/>
    <x v="8"/>
    <x v="126"/>
    <x v="0"/>
  </r>
  <r>
    <n v="2021"/>
    <x v="0"/>
    <s v="Central Line-Associated Bloodstream Infection (CLABSI)"/>
    <n v="930000108"/>
    <x v="128"/>
    <x v="17"/>
    <s v="Acute Care Hospital"/>
    <x v="0"/>
    <x v="4"/>
    <x v="12"/>
    <x v="0"/>
  </r>
  <r>
    <n v="2021"/>
    <x v="0"/>
    <s v="Central Line-Associated Bloodstream Infection (CLABSI)"/>
    <n v="930000111"/>
    <x v="129"/>
    <x v="17"/>
    <s v="Acute Care Hospital"/>
    <x v="1"/>
    <x v="3"/>
    <x v="127"/>
    <x v="2"/>
  </r>
  <r>
    <n v="2021"/>
    <x v="0"/>
    <s v="Central Line-Associated Bloodstream Infection (CLABSI)"/>
    <n v="930000111"/>
    <x v="129"/>
    <x v="17"/>
    <s v="Rehabilitation Hospital or Unit"/>
    <x v="2"/>
    <x v="2"/>
    <x v="21"/>
    <x v="1"/>
  </r>
  <r>
    <n v="2021"/>
    <x v="0"/>
    <s v="Central Line-Associated Bloodstream Infection (CLABSI)"/>
    <n v="930000112"/>
    <x v="130"/>
    <x v="17"/>
    <s v="Acute Care Hospital"/>
    <x v="0"/>
    <x v="2"/>
    <x v="128"/>
    <x v="0"/>
  </r>
  <r>
    <n v="2021"/>
    <x v="0"/>
    <s v="Central Line-Associated Bloodstream Infection (CLABSI)"/>
    <n v="930000105"/>
    <x v="131"/>
    <x v="17"/>
    <s v="Acute Care Hospital"/>
    <x v="3"/>
    <x v="3"/>
    <x v="129"/>
    <x v="3"/>
  </r>
  <r>
    <n v="2021"/>
    <x v="0"/>
    <s v="Central Line-Associated Bloodstream Infection (CLABSI)"/>
    <n v="930000052"/>
    <x v="132"/>
    <x v="17"/>
    <s v="Acute Care Hospital"/>
    <x v="1"/>
    <x v="8"/>
    <x v="77"/>
    <x v="0"/>
  </r>
  <r>
    <n v="2021"/>
    <x v="0"/>
    <s v="Central Line-Associated Bloodstream Infection (CLABSI)"/>
    <n v="930000099"/>
    <x v="133"/>
    <x v="17"/>
    <s v="Acute Care Hospital"/>
    <x v="1"/>
    <x v="7"/>
    <x v="130"/>
    <x v="2"/>
  </r>
  <r>
    <n v="2021"/>
    <x v="0"/>
    <s v="Central Line-Associated Bloodstream Infection (CLABSI)"/>
    <n v="930000099"/>
    <x v="133"/>
    <x v="17"/>
    <s v="Rehabilitation Hospital or Unit"/>
    <x v="2"/>
    <x v="2"/>
    <x v="131"/>
    <x v="0"/>
  </r>
  <r>
    <n v="2021"/>
    <x v="0"/>
    <s v="Central Line-Associated Bloodstream Infection (CLABSI)"/>
    <n v="930000032"/>
    <x v="134"/>
    <x v="17"/>
    <s v="Acute Care Hospital"/>
    <x v="0"/>
    <x v="2"/>
    <x v="42"/>
    <x v="1"/>
  </r>
  <r>
    <n v="2021"/>
    <x v="0"/>
    <s v="Central Line-Associated Bloodstream Infection (CLABSI)"/>
    <n v="930000133"/>
    <x v="135"/>
    <x v="17"/>
    <s v="Acute Care Hospital"/>
    <x v="0"/>
    <x v="4"/>
    <x v="132"/>
    <x v="3"/>
  </r>
  <r>
    <n v="2021"/>
    <x v="0"/>
    <s v="Central Line-Associated Bloodstream Infection (CLABSI)"/>
    <n v="930000077"/>
    <x v="136"/>
    <x v="17"/>
    <s v="Acute Care Hospital"/>
    <x v="1"/>
    <x v="2"/>
    <x v="133"/>
    <x v="0"/>
  </r>
  <r>
    <n v="2021"/>
    <x v="0"/>
    <s v="Central Line-Associated Bloodstream Infection (CLABSI)"/>
    <n v="930000077"/>
    <x v="136"/>
    <x v="17"/>
    <s v="Rehabilitation Hospital or Unit"/>
    <x v="2"/>
    <x v="2"/>
    <x v="50"/>
    <x v="1"/>
  </r>
  <r>
    <n v="2021"/>
    <x v="0"/>
    <s v="Central Line-Associated Bloodstream Infection (CLABSI)"/>
    <n v="930000123"/>
    <x v="137"/>
    <x v="17"/>
    <s v="Acute Care Hospital"/>
    <x v="1"/>
    <x v="29"/>
    <x v="134"/>
    <x v="3"/>
  </r>
  <r>
    <n v="2021"/>
    <x v="0"/>
    <s v="Central Line-Associated Bloodstream Infection (CLABSI)"/>
    <n v="930000091"/>
    <x v="138"/>
    <x v="17"/>
    <s v="Acute Care Hospital"/>
    <x v="3"/>
    <x v="4"/>
    <x v="62"/>
    <x v="0"/>
  </r>
  <r>
    <n v="2021"/>
    <x v="0"/>
    <s v="Central Line-Associated Bloodstream Infection (CLABSI)"/>
    <n v="930000066"/>
    <x v="139"/>
    <x v="17"/>
    <s v="Acute Care Hospital"/>
    <x v="6"/>
    <x v="7"/>
    <x v="135"/>
    <x v="0"/>
  </r>
  <r>
    <n v="2021"/>
    <x v="0"/>
    <s v="Central Line-Associated Bloodstream Infection (CLABSI)"/>
    <n v="930000066"/>
    <x v="139"/>
    <x v="17"/>
    <s v="Rehabilitation Hospital or Unit"/>
    <x v="2"/>
    <x v="2"/>
    <x v="136"/>
    <x v="1"/>
  </r>
  <r>
    <n v="2021"/>
    <x v="0"/>
    <s v="Central Line-Associated Bloodstream Infection (CLABSI)"/>
    <n v="930000157"/>
    <x v="140"/>
    <x v="17"/>
    <s v="Acute Care Hospital"/>
    <x v="6"/>
    <x v="9"/>
    <x v="137"/>
    <x v="0"/>
  </r>
  <r>
    <n v="2021"/>
    <x v="0"/>
    <s v="Central Line-Associated Bloodstream Infection (CLABSI)"/>
    <n v="930000157"/>
    <x v="140"/>
    <x v="17"/>
    <s v="Rehabilitation Hospital or Unit"/>
    <x v="2"/>
    <x v="2"/>
    <x v="138"/>
    <x v="0"/>
  </r>
  <r>
    <n v="2021"/>
    <x v="0"/>
    <s v="Central Line-Associated Bloodstream Infection (CLABSI)"/>
    <n v="930000081"/>
    <x v="141"/>
    <x v="17"/>
    <s v="Acute Care Hospital"/>
    <x v="6"/>
    <x v="19"/>
    <x v="139"/>
    <x v="0"/>
  </r>
  <r>
    <n v="2021"/>
    <x v="0"/>
    <s v="Central Line-Associated Bloodstream Infection (CLABSI)"/>
    <n v="930000100"/>
    <x v="142"/>
    <x v="17"/>
    <s v="Acute Care Hospital"/>
    <x v="6"/>
    <x v="3"/>
    <x v="140"/>
    <x v="0"/>
  </r>
  <r>
    <n v="2021"/>
    <x v="0"/>
    <s v="Central Line-Associated Bloodstream Infection (CLABSI)"/>
    <n v="930000101"/>
    <x v="143"/>
    <x v="17"/>
    <s v="Acute Care Hospital"/>
    <x v="6"/>
    <x v="30"/>
    <x v="141"/>
    <x v="0"/>
  </r>
  <r>
    <n v="2021"/>
    <x v="0"/>
    <s v="Central Line-Associated Bloodstream Infection (CLABSI)"/>
    <n v="930000101"/>
    <x v="143"/>
    <x v="17"/>
    <s v="Rehabilitation Hospital or Unit"/>
    <x v="2"/>
    <x v="2"/>
    <x v="38"/>
    <x v="1"/>
  </r>
  <r>
    <n v="2021"/>
    <x v="0"/>
    <s v="Central Line-Associated Bloodstream Infection (CLABSI)"/>
    <n v="930000162"/>
    <x v="144"/>
    <x v="17"/>
    <s v="Acute Care Hospital"/>
    <x v="1"/>
    <x v="28"/>
    <x v="142"/>
    <x v="2"/>
  </r>
  <r>
    <n v="2021"/>
    <x v="0"/>
    <s v="Central Line-Associated Bloodstream Infection (CLABSI)"/>
    <n v="930000125"/>
    <x v="145"/>
    <x v="17"/>
    <s v="Acute Care Hospital"/>
    <x v="0"/>
    <x v="9"/>
    <x v="143"/>
    <x v="0"/>
  </r>
  <r>
    <n v="2021"/>
    <x v="0"/>
    <s v="Central Line-Associated Bloodstream Infection (CLABSI)"/>
    <n v="930000041"/>
    <x v="146"/>
    <x v="17"/>
    <s v="Acute Care Hospital"/>
    <x v="3"/>
    <x v="3"/>
    <x v="144"/>
    <x v="0"/>
  </r>
  <r>
    <n v="2021"/>
    <x v="0"/>
    <s v="Central Line-Associated Bloodstream Infection (CLABSI)"/>
    <n v="930000049"/>
    <x v="147"/>
    <x v="17"/>
    <s v="Acute Care Hospital"/>
    <x v="1"/>
    <x v="31"/>
    <x v="145"/>
    <x v="0"/>
  </r>
  <r>
    <n v="2021"/>
    <x v="0"/>
    <s v="Central Line-Associated Bloodstream Infection (CLABSI)"/>
    <n v="930000140"/>
    <x v="148"/>
    <x v="17"/>
    <s v="Acute Care Hospital"/>
    <x v="3"/>
    <x v="2"/>
    <x v="146"/>
    <x v="0"/>
  </r>
  <r>
    <n v="2021"/>
    <x v="0"/>
    <s v="Central Line-Associated Bloodstream Infection (CLABSI)"/>
    <n v="930000015"/>
    <x v="149"/>
    <x v="17"/>
    <s v="Acute Care Hospital"/>
    <x v="6"/>
    <x v="9"/>
    <x v="147"/>
    <x v="0"/>
  </r>
  <r>
    <n v="2021"/>
    <x v="0"/>
    <s v="Central Line-Associated Bloodstream Infection (CLABSI)"/>
    <n v="930000015"/>
    <x v="149"/>
    <x v="17"/>
    <s v="Rehabilitation Hospital or Unit"/>
    <x v="2"/>
    <x v="2"/>
    <x v="148"/>
    <x v="1"/>
  </r>
  <r>
    <n v="2021"/>
    <x v="0"/>
    <s v="Central Line-Associated Bloodstream Infection (CLABSI)"/>
    <n v="930000064"/>
    <x v="150"/>
    <x v="17"/>
    <s v="Acute Care Hospital"/>
    <x v="0"/>
    <x v="9"/>
    <x v="149"/>
    <x v="0"/>
  </r>
  <r>
    <n v="2021"/>
    <x v="0"/>
    <s v="Central Line-Associated Bloodstream Infection (CLABSI)"/>
    <n v="930000128"/>
    <x v="151"/>
    <x v="17"/>
    <s v="Acute Care Hospital"/>
    <x v="6"/>
    <x v="17"/>
    <x v="150"/>
    <x v="0"/>
  </r>
  <r>
    <n v="2021"/>
    <x v="0"/>
    <s v="Central Line-Associated Bloodstream Infection (CLABSI)"/>
    <n v="930000103"/>
    <x v="152"/>
    <x v="17"/>
    <s v="Acute Care Hospital"/>
    <x v="6"/>
    <x v="2"/>
    <x v="5"/>
    <x v="2"/>
  </r>
  <r>
    <n v="2021"/>
    <x v="0"/>
    <s v="Central Line-Associated Bloodstream Infection (CLABSI)"/>
    <n v="930000103"/>
    <x v="152"/>
    <x v="17"/>
    <s v="Rehabilitation Hospital or Unit"/>
    <x v="2"/>
    <x v="9"/>
    <x v="46"/>
    <x v="1"/>
  </r>
  <r>
    <n v="2021"/>
    <x v="0"/>
    <s v="Central Line-Associated Bloodstream Infection (CLABSI)"/>
    <n v="930000127"/>
    <x v="153"/>
    <x v="17"/>
    <s v="Acute Care Hospital"/>
    <x v="6"/>
    <x v="3"/>
    <x v="151"/>
    <x v="2"/>
  </r>
  <r>
    <n v="2021"/>
    <x v="0"/>
    <s v="Central Line-Associated Bloodstream Infection (CLABSI)"/>
    <n v="930000163"/>
    <x v="154"/>
    <x v="17"/>
    <s v="Acute Care Hospital"/>
    <x v="1"/>
    <x v="5"/>
    <x v="152"/>
    <x v="0"/>
  </r>
  <r>
    <n v="2021"/>
    <x v="0"/>
    <s v="Central Line-Associated Bloodstream Infection (CLABSI)"/>
    <n v="930000187"/>
    <x v="155"/>
    <x v="17"/>
    <s v="Acute Care Hospital"/>
    <x v="1"/>
    <x v="9"/>
    <x v="153"/>
    <x v="0"/>
  </r>
  <r>
    <n v="2021"/>
    <x v="0"/>
    <s v="Central Line-Associated Bloodstream Infection (CLABSI)"/>
    <n v="930000129"/>
    <x v="156"/>
    <x v="17"/>
    <s v="Acute Care Hospital"/>
    <x v="6"/>
    <x v="11"/>
    <x v="154"/>
    <x v="3"/>
  </r>
  <r>
    <n v="2021"/>
    <x v="0"/>
    <s v="Central Line-Associated Bloodstream Infection (CLABSI)"/>
    <n v="930000129"/>
    <x v="156"/>
    <x v="17"/>
    <s v="Rehabilitation Hospital or Unit"/>
    <x v="2"/>
    <x v="2"/>
    <x v="69"/>
    <x v="1"/>
  </r>
  <r>
    <n v="2021"/>
    <x v="0"/>
    <s v="Central Line-Associated Bloodstream Infection (CLABSI)"/>
    <n v="930000188"/>
    <x v="157"/>
    <x v="17"/>
    <s v="Acute Care Hospital"/>
    <x v="0"/>
    <x v="2"/>
    <x v="32"/>
    <x v="1"/>
  </r>
  <r>
    <n v="2021"/>
    <x v="0"/>
    <s v="Central Line-Associated Bloodstream Infection (CLABSI)"/>
    <n v="930000028"/>
    <x v="158"/>
    <x v="17"/>
    <s v="Acute Care Hospital"/>
    <x v="6"/>
    <x v="24"/>
    <x v="155"/>
    <x v="3"/>
  </r>
  <r>
    <n v="2021"/>
    <x v="0"/>
    <s v="Central Line-Associated Bloodstream Infection (CLABSI)"/>
    <n v="930000151"/>
    <x v="159"/>
    <x v="17"/>
    <s v="Acute Care Hospital"/>
    <x v="3"/>
    <x v="9"/>
    <x v="156"/>
    <x v="0"/>
  </r>
  <r>
    <n v="2021"/>
    <x v="0"/>
    <s v="Central Line-Associated Bloodstream Infection (CLABSI)"/>
    <n v="40000111"/>
    <x v="160"/>
    <x v="18"/>
    <s v="Acute Care Hospital"/>
    <x v="0"/>
    <x v="14"/>
    <x v="157"/>
    <x v="3"/>
  </r>
  <r>
    <n v="2021"/>
    <x v="0"/>
    <s v="Central Line-Associated Bloodstream Infection (CLABSI)"/>
    <n v="40000129"/>
    <x v="161"/>
    <x v="18"/>
    <s v="Acute Care Hospital"/>
    <x v="5"/>
    <x v="1"/>
    <x v="158"/>
    <x v="2"/>
  </r>
  <r>
    <n v="2021"/>
    <x v="0"/>
    <s v="Central Line-Associated Bloodstream Infection (CLABSI)"/>
    <n v="110000944"/>
    <x v="162"/>
    <x v="19"/>
    <s v="Acute Care Hospital"/>
    <x v="0"/>
    <x v="2"/>
    <x v="159"/>
    <x v="0"/>
  </r>
  <r>
    <n v="2021"/>
    <x v="0"/>
    <s v="Central Line-Associated Bloodstream Infection (CLABSI)"/>
    <n v="110000946"/>
    <x v="163"/>
    <x v="19"/>
    <s v="Long-Term Acute Care Hospital"/>
    <x v="4"/>
    <x v="0"/>
    <x v="160"/>
    <x v="2"/>
  </r>
  <r>
    <n v="2021"/>
    <x v="0"/>
    <s v="Central Line-Associated Bloodstream Infection (CLABSI)"/>
    <n v="110000953"/>
    <x v="164"/>
    <x v="19"/>
    <s v="Acute Care Hospital"/>
    <x v="3"/>
    <x v="9"/>
    <x v="161"/>
    <x v="0"/>
  </r>
  <r>
    <n v="2021"/>
    <x v="0"/>
    <s v="Central Line-Associated Bloodstream Infection (CLABSI)"/>
    <n v="110000982"/>
    <x v="165"/>
    <x v="19"/>
    <s v="Acute Care Hospital"/>
    <x v="0"/>
    <x v="2"/>
    <x v="162"/>
    <x v="0"/>
  </r>
  <r>
    <n v="2021"/>
    <x v="0"/>
    <s v="Central Line-Associated Bloodstream Infection (CLABSI)"/>
    <n v="40000105"/>
    <x v="166"/>
    <x v="20"/>
    <s v="Critical Access Hospital"/>
    <x v="8"/>
    <x v="2"/>
    <x v="53"/>
    <x v="1"/>
  </r>
  <r>
    <n v="2021"/>
    <x v="0"/>
    <s v="Central Line-Associated Bloodstream Infection (CLABSI)"/>
    <n v="110000008"/>
    <x v="167"/>
    <x v="21"/>
    <s v="Critical Access Hospital"/>
    <x v="8"/>
    <x v="2"/>
    <x v="33"/>
    <x v="0"/>
  </r>
  <r>
    <n v="2021"/>
    <x v="0"/>
    <s v="Central Line-Associated Bloodstream Infection (CLABSI)"/>
    <n v="110000023"/>
    <x v="168"/>
    <x v="21"/>
    <s v="Critical Access Hospital"/>
    <x v="8"/>
    <x v="2"/>
    <x v="46"/>
    <x v="1"/>
  </r>
  <r>
    <n v="2021"/>
    <x v="0"/>
    <s v="Central Line-Associated Bloodstream Infection (CLABSI)"/>
    <n v="110000070"/>
    <x v="169"/>
    <x v="21"/>
    <s v="Acute Care Hospital"/>
    <x v="1"/>
    <x v="8"/>
    <x v="163"/>
    <x v="0"/>
  </r>
  <r>
    <n v="2021"/>
    <x v="0"/>
    <s v="Central Line-Associated Bloodstream Infection (CLABSI)"/>
    <n v="40000110"/>
    <x v="170"/>
    <x v="22"/>
    <s v="Acute Care Hospital"/>
    <x v="0"/>
    <x v="2"/>
    <x v="164"/>
    <x v="0"/>
  </r>
  <r>
    <n v="2021"/>
    <x v="0"/>
    <s v="Central Line-Associated Bloodstream Infection (CLABSI)"/>
    <n v="40000113"/>
    <x v="171"/>
    <x v="22"/>
    <s v="Acute Care Hospital"/>
    <x v="1"/>
    <x v="14"/>
    <x v="165"/>
    <x v="0"/>
  </r>
  <r>
    <n v="2021"/>
    <x v="0"/>
    <s v="Central Line-Associated Bloodstream Infection (CLABSI)"/>
    <n v="230000011"/>
    <x v="172"/>
    <x v="23"/>
    <s v="Critical Access Hospital"/>
    <x v="8"/>
    <x v="2"/>
    <x v="38"/>
    <x v="1"/>
  </r>
  <r>
    <n v="2021"/>
    <x v="0"/>
    <s v="Central Line-Associated Bloodstream Infection (CLABSI)"/>
    <n v="230000021"/>
    <x v="173"/>
    <x v="23"/>
    <s v="Critical Access Hospital"/>
    <x v="8"/>
    <x v="2"/>
    <x v="38"/>
    <x v="1"/>
  </r>
  <r>
    <n v="2021"/>
    <x v="0"/>
    <s v="Central Line-Associated Bloodstream Infection (CLABSI)"/>
    <n v="240000005"/>
    <x v="174"/>
    <x v="24"/>
    <s v="Critical Access Hospital"/>
    <x v="8"/>
    <x v="2"/>
    <x v="32"/>
    <x v="1"/>
  </r>
  <r>
    <n v="2021"/>
    <x v="0"/>
    <s v="Central Line-Associated Bloodstream Infection (CLABSI)"/>
    <n v="70000137"/>
    <x v="175"/>
    <x v="25"/>
    <s v="Acute Care Hospital"/>
    <x v="6"/>
    <x v="17"/>
    <x v="160"/>
    <x v="0"/>
  </r>
  <r>
    <n v="2021"/>
    <x v="0"/>
    <s v="Central Line-Associated Bloodstream Infection (CLABSI)"/>
    <n v="70000137"/>
    <x v="175"/>
    <x v="25"/>
    <s v="Rehabilitation Hospital or Unit"/>
    <x v="2"/>
    <x v="2"/>
    <x v="91"/>
    <x v="1"/>
  </r>
  <r>
    <n v="2021"/>
    <x v="0"/>
    <s v="Central Line-Associated Bloodstream Infection (CLABSI)"/>
    <n v="70000141"/>
    <x v="176"/>
    <x v="25"/>
    <s v="Acute Care Hospital"/>
    <x v="0"/>
    <x v="2"/>
    <x v="19"/>
    <x v="1"/>
  </r>
  <r>
    <n v="2021"/>
    <x v="0"/>
    <s v="Central Line-Associated Bloodstream Infection (CLABSI)"/>
    <n v="70000145"/>
    <x v="177"/>
    <x v="25"/>
    <s v="Acute Care Hospital"/>
    <x v="1"/>
    <x v="7"/>
    <x v="166"/>
    <x v="0"/>
  </r>
  <r>
    <n v="2021"/>
    <x v="0"/>
    <s v="Central Line-Associated Bloodstream Infection (CLABSI)"/>
    <n v="70000145"/>
    <x v="177"/>
    <x v="25"/>
    <s v="Rehabilitation Hospital or Unit"/>
    <x v="2"/>
    <x v="2"/>
    <x v="21"/>
    <x v="1"/>
  </r>
  <r>
    <n v="2021"/>
    <x v="0"/>
    <s v="Central Line-Associated Bloodstream Infection (CLABSI)"/>
    <n v="70000147"/>
    <x v="178"/>
    <x v="25"/>
    <s v="Acute Care Hospital"/>
    <x v="6"/>
    <x v="9"/>
    <x v="167"/>
    <x v="2"/>
  </r>
  <r>
    <n v="2021"/>
    <x v="0"/>
    <s v="Central Line-Associated Bloodstream Infection (CLABSI)"/>
    <n v="110000058"/>
    <x v="179"/>
    <x v="26"/>
    <s v="Acute Care Hospital"/>
    <x v="0"/>
    <x v="2"/>
    <x v="168"/>
    <x v="2"/>
  </r>
  <r>
    <n v="2021"/>
    <x v="0"/>
    <s v="Central Line-Associated Bloodstream Infection (CLABSI)"/>
    <n v="110000041"/>
    <x v="180"/>
    <x v="26"/>
    <s v="Acute Care Hospital"/>
    <x v="3"/>
    <x v="4"/>
    <x v="169"/>
    <x v="0"/>
  </r>
  <r>
    <n v="2021"/>
    <x v="0"/>
    <s v="Central Line-Associated Bloodstream Infection (CLABSI)"/>
    <n v="110000041"/>
    <x v="180"/>
    <x v="26"/>
    <s v="Rehabilitation Hospital or Unit"/>
    <x v="2"/>
    <x v="2"/>
    <x v="170"/>
    <x v="1"/>
  </r>
  <r>
    <n v="2021"/>
    <x v="0"/>
    <s v="Central Line-Associated Bloodstream Infection (CLABSI)"/>
    <n v="230000262"/>
    <x v="181"/>
    <x v="27"/>
    <s v="Acute Care Hospital"/>
    <x v="0"/>
    <x v="9"/>
    <x v="171"/>
    <x v="0"/>
  </r>
  <r>
    <n v="2021"/>
    <x v="0"/>
    <s v="Central Line-Associated Bloodstream Infection (CLABSI)"/>
    <n v="230000265"/>
    <x v="182"/>
    <x v="27"/>
    <s v="Critical Access Hospital"/>
    <x v="8"/>
    <x v="2"/>
    <x v="94"/>
    <x v="1"/>
  </r>
  <r>
    <n v="2021"/>
    <x v="0"/>
    <s v="Central Line-Associated Bloodstream Infection (CLABSI)"/>
    <n v="60000002"/>
    <x v="183"/>
    <x v="28"/>
    <s v="Acute Care Hospital"/>
    <x v="3"/>
    <x v="14"/>
    <x v="172"/>
    <x v="0"/>
  </r>
  <r>
    <n v="2021"/>
    <x v="0"/>
    <s v="Central Line-Associated Bloodstream Infection (CLABSI)"/>
    <n v="60000074"/>
    <x v="184"/>
    <x v="28"/>
    <s v="Acute Care Hospital"/>
    <x v="3"/>
    <x v="0"/>
    <x v="173"/>
    <x v="0"/>
  </r>
  <r>
    <n v="2021"/>
    <x v="0"/>
    <s v="Central Line-Associated Bloodstream Infection (CLABSI)"/>
    <n v="60000006"/>
    <x v="185"/>
    <x v="28"/>
    <s v="Acute Care Hospital"/>
    <x v="0"/>
    <x v="2"/>
    <x v="174"/>
    <x v="0"/>
  </r>
  <r>
    <n v="2021"/>
    <x v="0"/>
    <s v="Central Line-Associated Bloodstream Infection (CLABSI)"/>
    <n v="60001207"/>
    <x v="186"/>
    <x v="28"/>
    <s v="Acute Care Hospital"/>
    <x v="5"/>
    <x v="2"/>
    <x v="128"/>
    <x v="0"/>
  </r>
  <r>
    <n v="2021"/>
    <x v="0"/>
    <s v="Central Line-Associated Bloodstream Infection (CLABSI)"/>
    <n v="60000007"/>
    <x v="187"/>
    <x v="28"/>
    <s v="Acute Care Hospital"/>
    <x v="5"/>
    <x v="11"/>
    <x v="175"/>
    <x v="0"/>
  </r>
  <r>
    <n v="2021"/>
    <x v="0"/>
    <s v="Central Line-Associated Bloodstream Infection (CLABSI)"/>
    <n v="60000008"/>
    <x v="188"/>
    <x v="28"/>
    <s v="Acute Care Hospital"/>
    <x v="3"/>
    <x v="2"/>
    <x v="38"/>
    <x v="1"/>
  </r>
  <r>
    <n v="2021"/>
    <x v="0"/>
    <s v="Central Line-Associated Bloodstream Infection (CLABSI)"/>
    <n v="60001097"/>
    <x v="189"/>
    <x v="28"/>
    <s v="Rehabilitation Hospital or Unit"/>
    <x v="7"/>
    <x v="2"/>
    <x v="176"/>
    <x v="0"/>
  </r>
  <r>
    <n v="2021"/>
    <x v="0"/>
    <s v="Central Line-Associated Bloodstream Infection (CLABSI)"/>
    <n v="60000013"/>
    <x v="190"/>
    <x v="28"/>
    <s v="Acute Care Hospital"/>
    <x v="0"/>
    <x v="0"/>
    <x v="177"/>
    <x v="0"/>
  </r>
  <r>
    <n v="2021"/>
    <x v="0"/>
    <s v="Central Line-Associated Bloodstream Infection (CLABSI)"/>
    <n v="60000011"/>
    <x v="191"/>
    <x v="28"/>
    <s v="Acute Care Hospital"/>
    <x v="6"/>
    <x v="20"/>
    <x v="17"/>
    <x v="3"/>
  </r>
  <r>
    <n v="2021"/>
    <x v="0"/>
    <s v="Central Line-Associated Bloodstream Infection (CLABSI)"/>
    <n v="60000058"/>
    <x v="192"/>
    <x v="28"/>
    <s v="Acute Care Hospital"/>
    <x v="0"/>
    <x v="9"/>
    <x v="178"/>
    <x v="0"/>
  </r>
  <r>
    <n v="2021"/>
    <x v="0"/>
    <s v="Central Line-Associated Bloodstream Infection (CLABSI)"/>
    <n v="60001674"/>
    <x v="193"/>
    <x v="28"/>
    <s v="Acute Care Hospital"/>
    <x v="5"/>
    <x v="2"/>
    <x v="63"/>
    <x v="1"/>
  </r>
  <r>
    <n v="2021"/>
    <x v="0"/>
    <s v="Central Line-Associated Bloodstream Infection (CLABSI)"/>
    <n v="60001022"/>
    <x v="194"/>
    <x v="28"/>
    <s v="Acute Care Hospital"/>
    <x v="0"/>
    <x v="8"/>
    <x v="179"/>
    <x v="0"/>
  </r>
  <r>
    <n v="2021"/>
    <x v="0"/>
    <s v="Central Line-Associated Bloodstream Infection (CLABSI)"/>
    <n v="60000014"/>
    <x v="195"/>
    <x v="28"/>
    <s v="Acute Care Hospital"/>
    <x v="6"/>
    <x v="17"/>
    <x v="180"/>
    <x v="0"/>
  </r>
  <r>
    <n v="2021"/>
    <x v="0"/>
    <s v="Central Line-Associated Bloodstream Infection (CLABSI)"/>
    <n v="60000014"/>
    <x v="195"/>
    <x v="28"/>
    <s v="Rehabilitation Hospital or Unit"/>
    <x v="2"/>
    <x v="2"/>
    <x v="91"/>
    <x v="1"/>
  </r>
  <r>
    <n v="2021"/>
    <x v="0"/>
    <s v="Central Line-Associated Bloodstream Infection (CLABSI)"/>
    <n v="630012891"/>
    <x v="196"/>
    <x v="28"/>
    <s v="Acute Care Hospital"/>
    <x v="0"/>
    <x v="2"/>
    <x v="48"/>
    <x v="1"/>
  </r>
  <r>
    <n v="2021"/>
    <x v="0"/>
    <s v="Central Line-Associated Bloodstream Infection (CLABSI)"/>
    <n v="60000015"/>
    <x v="197"/>
    <x v="28"/>
    <s v="Acute Care Hospital"/>
    <x v="0"/>
    <x v="5"/>
    <x v="181"/>
    <x v="3"/>
  </r>
  <r>
    <n v="2021"/>
    <x v="0"/>
    <s v="Central Line-Associated Bloodstream Infection (CLABSI)"/>
    <n v="630013929"/>
    <x v="198"/>
    <x v="28"/>
    <s v="Acute Care Hospital"/>
    <x v="1"/>
    <x v="10"/>
    <x v="182"/>
    <x v="0"/>
  </r>
  <r>
    <n v="2021"/>
    <x v="0"/>
    <s v="Central Line-Associated Bloodstream Infection (CLABSI)"/>
    <n v="630011745"/>
    <x v="199"/>
    <x v="28"/>
    <s v="Acute Care Hospital"/>
    <x v="1"/>
    <x v="3"/>
    <x v="183"/>
    <x v="0"/>
  </r>
  <r>
    <n v="2021"/>
    <x v="0"/>
    <s v="Central Line-Associated Bloodstream Infection (CLABSI)"/>
    <n v="60001360"/>
    <x v="200"/>
    <x v="28"/>
    <s v="Long-Term Acute Care Hospital"/>
    <x v="4"/>
    <x v="10"/>
    <x v="184"/>
    <x v="0"/>
  </r>
  <r>
    <n v="2021"/>
    <x v="0"/>
    <s v="Central Line-Associated Bloodstream Infection (CLABSI)"/>
    <n v="930001607"/>
    <x v="201"/>
    <x v="28"/>
    <s v="Long-Term Acute Care Hospital"/>
    <x v="4"/>
    <x v="32"/>
    <x v="185"/>
    <x v="3"/>
  </r>
  <r>
    <n v="2021"/>
    <x v="0"/>
    <s v="Central Line-Associated Bloodstream Infection (CLABSI)"/>
    <n v="60000017"/>
    <x v="202"/>
    <x v="28"/>
    <s v="Long-Term Acute Care Hospital"/>
    <x v="4"/>
    <x v="33"/>
    <x v="186"/>
    <x v="3"/>
  </r>
  <r>
    <n v="2021"/>
    <x v="0"/>
    <s v="Central Line-Associated Bloodstream Infection (CLABSI)"/>
    <n v="60000024"/>
    <x v="203"/>
    <x v="28"/>
    <s v="Acute Care Hospital"/>
    <x v="3"/>
    <x v="2"/>
    <x v="174"/>
    <x v="0"/>
  </r>
  <r>
    <n v="2021"/>
    <x v="0"/>
    <s v="Central Line-Associated Bloodstream Infection (CLABSI)"/>
    <n v="60000025"/>
    <x v="204"/>
    <x v="28"/>
    <s v="Acute Care Hospital"/>
    <x v="3"/>
    <x v="15"/>
    <x v="187"/>
    <x v="3"/>
  </r>
  <r>
    <n v="2021"/>
    <x v="0"/>
    <s v="Central Line-Associated Bloodstream Infection (CLABSI)"/>
    <n v="60000208"/>
    <x v="205"/>
    <x v="28"/>
    <s v="Acute Care Hospital"/>
    <x v="3"/>
    <x v="8"/>
    <x v="188"/>
    <x v="2"/>
  </r>
  <r>
    <n v="2021"/>
    <x v="0"/>
    <s v="Central Line-Associated Bloodstream Infection (CLABSI)"/>
    <n v="60000063"/>
    <x v="206"/>
    <x v="28"/>
    <s v="Acute Care Hospital"/>
    <x v="3"/>
    <x v="7"/>
    <x v="189"/>
    <x v="0"/>
  </r>
  <r>
    <n v="2021"/>
    <x v="0"/>
    <s v="Central Line-Associated Bloodstream Infection (CLABSI)"/>
    <n v="60000073"/>
    <x v="207"/>
    <x v="28"/>
    <s v="Acute Care Hospital"/>
    <x v="6"/>
    <x v="10"/>
    <x v="190"/>
    <x v="0"/>
  </r>
  <r>
    <n v="2021"/>
    <x v="0"/>
    <s v="Central Line-Associated Bloodstream Infection (CLABSI)"/>
    <n v="60000062"/>
    <x v="208"/>
    <x v="28"/>
    <s v="Acute Care Hospital"/>
    <x v="0"/>
    <x v="9"/>
    <x v="90"/>
    <x v="0"/>
  </r>
  <r>
    <n v="2021"/>
    <x v="0"/>
    <s v="Central Line-Associated Bloodstream Infection (CLABSI)"/>
    <n v="60000060"/>
    <x v="209"/>
    <x v="28"/>
    <s v="Acute Care Hospital"/>
    <x v="1"/>
    <x v="31"/>
    <x v="191"/>
    <x v="0"/>
  </r>
  <r>
    <n v="2021"/>
    <x v="0"/>
    <s v="Central Line-Associated Bloodstream Infection (CLABSI)"/>
    <n v="60000060"/>
    <x v="209"/>
    <x v="28"/>
    <s v="Rehabilitation Hospital or Unit"/>
    <x v="2"/>
    <x v="2"/>
    <x v="42"/>
    <x v="1"/>
  </r>
  <r>
    <n v="2021"/>
    <x v="0"/>
    <s v="Central Line-Associated Bloodstream Infection (CLABSI)"/>
    <n v="60000066"/>
    <x v="210"/>
    <x v="28"/>
    <s v="Acute Care Hospital"/>
    <x v="1"/>
    <x v="2"/>
    <x v="192"/>
    <x v="0"/>
  </r>
  <r>
    <n v="2021"/>
    <x v="0"/>
    <s v="Central Line-Associated Bloodstream Infection (CLABSI)"/>
    <n v="60000067"/>
    <x v="211"/>
    <x v="28"/>
    <s v="Acute Care Hospital"/>
    <x v="6"/>
    <x v="25"/>
    <x v="193"/>
    <x v="0"/>
  </r>
  <r>
    <n v="2021"/>
    <x v="0"/>
    <s v="Central Line-Associated Bloodstream Infection (CLABSI)"/>
    <n v="60000068"/>
    <x v="212"/>
    <x v="28"/>
    <s v="Acute Care Hospital"/>
    <x v="6"/>
    <x v="25"/>
    <x v="194"/>
    <x v="0"/>
  </r>
  <r>
    <n v="2021"/>
    <x v="0"/>
    <s v="Central Line-Associated Bloodstream Infection (CLABSI)"/>
    <n v="60000068"/>
    <x v="212"/>
    <x v="28"/>
    <s v="Rehabilitation Hospital or Unit"/>
    <x v="2"/>
    <x v="2"/>
    <x v="176"/>
    <x v="0"/>
  </r>
  <r>
    <n v="2021"/>
    <x v="0"/>
    <s v="Central Line-Associated Bloodstream Infection (CLABSI)"/>
    <n v="60000021"/>
    <x v="213"/>
    <x v="28"/>
    <s v="Acute Care Hospital"/>
    <x v="3"/>
    <x v="9"/>
    <x v="195"/>
    <x v="0"/>
  </r>
  <r>
    <n v="2021"/>
    <x v="0"/>
    <s v="Central Line-Associated Bloodstream Infection (CLABSI)"/>
    <n v="60000071"/>
    <x v="214"/>
    <x v="28"/>
    <s v="Acute Care Hospital"/>
    <x v="1"/>
    <x v="34"/>
    <x v="196"/>
    <x v="0"/>
  </r>
  <r>
    <n v="2021"/>
    <x v="0"/>
    <s v="Central Line-Associated Bloodstream Infection (CLABSI)"/>
    <n v="60000071"/>
    <x v="214"/>
    <x v="28"/>
    <s v="Rehabilitation Hospital or Unit"/>
    <x v="2"/>
    <x v="2"/>
    <x v="89"/>
    <x v="0"/>
  </r>
  <r>
    <n v="2021"/>
    <x v="0"/>
    <s v="Central Line-Associated Bloodstream Infection (CLABSI)"/>
    <n v="60000016"/>
    <x v="215"/>
    <x v="28"/>
    <s v="Acute Care Hospital"/>
    <x v="0"/>
    <x v="0"/>
    <x v="197"/>
    <x v="0"/>
  </r>
  <r>
    <n v="2021"/>
    <x v="0"/>
    <s v="Central Line-Associated Bloodstream Infection (CLABSI)"/>
    <n v="30001370"/>
    <x v="216"/>
    <x v="29"/>
    <s v="Acute Care Hospital"/>
    <x v="1"/>
    <x v="25"/>
    <x v="198"/>
    <x v="0"/>
  </r>
  <r>
    <n v="2021"/>
    <x v="0"/>
    <s v="Central Line-Associated Bloodstream Infection (CLABSI)"/>
    <n v="30000109"/>
    <x v="217"/>
    <x v="29"/>
    <s v="Acute Care Hospital"/>
    <x v="0"/>
    <x v="0"/>
    <x v="199"/>
    <x v="0"/>
  </r>
  <r>
    <n v="2021"/>
    <x v="0"/>
    <s v="Central Line-Associated Bloodstream Infection (CLABSI)"/>
    <n v="30000134"/>
    <x v="218"/>
    <x v="29"/>
    <s v="Acute Care Hospital"/>
    <x v="6"/>
    <x v="20"/>
    <x v="200"/>
    <x v="0"/>
  </r>
  <r>
    <n v="2021"/>
    <x v="0"/>
    <s v="Central Line-Associated Bloodstream Infection (CLABSI)"/>
    <n v="30000134"/>
    <x v="218"/>
    <x v="29"/>
    <s v="Rehabilitation Hospital or Unit"/>
    <x v="2"/>
    <x v="9"/>
    <x v="201"/>
    <x v="0"/>
  </r>
  <r>
    <n v="2021"/>
    <x v="0"/>
    <s v="Central Line-Associated Bloodstream Infection (CLABSI)"/>
    <n v="230000004"/>
    <x v="219"/>
    <x v="30"/>
    <s v="Critical Access Hospital"/>
    <x v="8"/>
    <x v="2"/>
    <x v="63"/>
    <x v="1"/>
  </r>
  <r>
    <n v="2021"/>
    <x v="0"/>
    <s v="Central Line-Associated Bloodstream Infection (CLABSI)"/>
    <n v="230000015"/>
    <x v="220"/>
    <x v="30"/>
    <s v="Critical Access Hospital"/>
    <x v="8"/>
    <x v="2"/>
    <x v="38"/>
    <x v="1"/>
  </r>
  <r>
    <n v="2021"/>
    <x v="0"/>
    <s v="Central Line-Associated Bloodstream Infection (CLABSI)"/>
    <n v="230000017"/>
    <x v="221"/>
    <x v="30"/>
    <s v="Critical Access Hospital"/>
    <x v="8"/>
    <x v="2"/>
    <x v="38"/>
    <x v="1"/>
  </r>
  <r>
    <n v="2021"/>
    <x v="0"/>
    <s v="Central Line-Associated Bloodstream Infection (CLABSI)"/>
    <n v="250000006"/>
    <x v="222"/>
    <x v="31"/>
    <s v="Acute Care Hospital"/>
    <x v="3"/>
    <x v="8"/>
    <x v="137"/>
    <x v="0"/>
  </r>
  <r>
    <n v="2021"/>
    <x v="0"/>
    <s v="Central Line-Associated Bloodstream Infection (CLABSI)"/>
    <n v="250000008"/>
    <x v="223"/>
    <x v="31"/>
    <s v="Acute Care Hospital"/>
    <x v="1"/>
    <x v="30"/>
    <x v="202"/>
    <x v="0"/>
  </r>
  <r>
    <n v="2021"/>
    <x v="0"/>
    <s v="Central Line-Associated Bloodstream Infection (CLABSI)"/>
    <n v="250000008"/>
    <x v="223"/>
    <x v="31"/>
    <s v="Rehabilitation Hospital or Unit"/>
    <x v="2"/>
    <x v="2"/>
    <x v="63"/>
    <x v="1"/>
  </r>
  <r>
    <n v="2021"/>
    <x v="0"/>
    <s v="Central Line-Associated Bloodstream Infection (CLABSI)"/>
    <n v="250000044"/>
    <x v="224"/>
    <x v="31"/>
    <s v="Acute Care Hospital"/>
    <x v="3"/>
    <x v="8"/>
    <x v="58"/>
    <x v="0"/>
  </r>
  <r>
    <n v="2021"/>
    <x v="0"/>
    <s v="Central Line-Associated Bloodstream Infection (CLABSI)"/>
    <n v="250000011"/>
    <x v="225"/>
    <x v="31"/>
    <s v="Acute Care Hospital"/>
    <x v="1"/>
    <x v="25"/>
    <x v="203"/>
    <x v="0"/>
  </r>
  <r>
    <n v="2021"/>
    <x v="0"/>
    <s v="Central Line-Associated Bloodstream Infection (CLABSI)"/>
    <n v="630019237"/>
    <x v="226"/>
    <x v="31"/>
    <s v="Rehabilitation Hospital or Unit"/>
    <x v="7"/>
    <x v="2"/>
    <x v="176"/>
    <x v="0"/>
  </r>
  <r>
    <n v="2021"/>
    <x v="0"/>
    <s v="Central Line-Associated Bloodstream Infection (CLABSI)"/>
    <n v="250000012"/>
    <x v="227"/>
    <x v="31"/>
    <s v="Acute Care Hospital"/>
    <x v="1"/>
    <x v="9"/>
    <x v="204"/>
    <x v="2"/>
  </r>
  <r>
    <n v="2021"/>
    <x v="0"/>
    <s v="Central Line-Associated Bloodstream Infection (CLABSI)"/>
    <n v="250000017"/>
    <x v="228"/>
    <x v="31"/>
    <s v="Acute Care Hospital"/>
    <x v="3"/>
    <x v="8"/>
    <x v="205"/>
    <x v="0"/>
  </r>
  <r>
    <n v="2021"/>
    <x v="0"/>
    <s v="Central Line-Associated Bloodstream Infection (CLABSI)"/>
    <n v="630011959"/>
    <x v="229"/>
    <x v="31"/>
    <s v="Acute Care Hospital"/>
    <x v="1"/>
    <x v="3"/>
    <x v="206"/>
    <x v="0"/>
  </r>
  <r>
    <n v="2021"/>
    <x v="0"/>
    <s v="Central Line-Associated Bloodstream Infection (CLABSI)"/>
    <n v="250000707"/>
    <x v="230"/>
    <x v="31"/>
    <s v="Acute Care Hospital"/>
    <x v="1"/>
    <x v="5"/>
    <x v="207"/>
    <x v="0"/>
  </r>
  <r>
    <n v="2021"/>
    <x v="0"/>
    <s v="Central Line-Associated Bloodstream Infection (CLABSI)"/>
    <n v="250000004"/>
    <x v="231"/>
    <x v="31"/>
    <s v="Long-Term Acute Care Hospital"/>
    <x v="4"/>
    <x v="5"/>
    <x v="208"/>
    <x v="0"/>
  </r>
  <r>
    <n v="2021"/>
    <x v="0"/>
    <s v="Central Line-Associated Bloodstream Infection (CLABSI)"/>
    <n v="630012971"/>
    <x v="232"/>
    <x v="31"/>
    <s v="Acute Care Hospital"/>
    <x v="1"/>
    <x v="1"/>
    <x v="209"/>
    <x v="0"/>
  </r>
  <r>
    <n v="2021"/>
    <x v="0"/>
    <s v="Central Line-Associated Bloodstream Infection (CLABSI)"/>
    <n v="250000727"/>
    <x v="233"/>
    <x v="31"/>
    <s v="Acute Care Hospital"/>
    <x v="0"/>
    <x v="2"/>
    <x v="192"/>
    <x v="0"/>
  </r>
  <r>
    <n v="2021"/>
    <x v="0"/>
    <s v="Central Line-Associated Bloodstream Infection (CLABSI)"/>
    <n v="250000042"/>
    <x v="234"/>
    <x v="31"/>
    <s v="Acute Care Hospital"/>
    <x v="0"/>
    <x v="2"/>
    <x v="38"/>
    <x v="1"/>
  </r>
  <r>
    <n v="2021"/>
    <x v="0"/>
    <s v="Central Line-Associated Bloodstream Infection (CLABSI)"/>
    <n v="250000049"/>
    <x v="235"/>
    <x v="31"/>
    <s v="Acute Care Hospital"/>
    <x v="1"/>
    <x v="35"/>
    <x v="210"/>
    <x v="3"/>
  </r>
  <r>
    <n v="2021"/>
    <x v="0"/>
    <s v="Central Line-Associated Bloodstream Infection (CLABSI)"/>
    <n v="250000050"/>
    <x v="236"/>
    <x v="31"/>
    <s v="Acute Care Hospital"/>
    <x v="1"/>
    <x v="0"/>
    <x v="211"/>
    <x v="2"/>
  </r>
  <r>
    <n v="2021"/>
    <x v="0"/>
    <s v="Central Line-Associated Bloodstream Infection (CLABSI)"/>
    <n v="250000101"/>
    <x v="237"/>
    <x v="31"/>
    <s v="Acute Care Hospital"/>
    <x v="1"/>
    <x v="8"/>
    <x v="212"/>
    <x v="0"/>
  </r>
  <r>
    <n v="2021"/>
    <x v="0"/>
    <s v="Central Line-Associated Bloodstream Infection (CLABSI)"/>
    <n v="250000507"/>
    <x v="238"/>
    <x v="31"/>
    <s v="Acute Care Hospital"/>
    <x v="3"/>
    <x v="9"/>
    <x v="213"/>
    <x v="0"/>
  </r>
  <r>
    <n v="2021"/>
    <x v="0"/>
    <s v="Central Line-Associated Bloodstream Infection (CLABSI)"/>
    <n v="250000344"/>
    <x v="239"/>
    <x v="31"/>
    <s v="Acute Care Hospital"/>
    <x v="0"/>
    <x v="0"/>
    <x v="161"/>
    <x v="0"/>
  </r>
  <r>
    <n v="2021"/>
    <x v="0"/>
    <s v="Central Line-Associated Bloodstream Infection (CLABSI)"/>
    <n v="630014442"/>
    <x v="240"/>
    <x v="31"/>
    <s v="Acute Care Hospital"/>
    <x v="3"/>
    <x v="3"/>
    <x v="214"/>
    <x v="0"/>
  </r>
  <r>
    <n v="2021"/>
    <x v="0"/>
    <s v="Central Line-Associated Bloodstream Infection (CLABSI)"/>
    <n v="630017654"/>
    <x v="241"/>
    <x v="31"/>
    <s v="Rehabilitation Hospital or Unit"/>
    <x v="7"/>
    <x v="2"/>
    <x v="201"/>
    <x v="0"/>
  </r>
  <r>
    <n v="2021"/>
    <x v="0"/>
    <s v="Central Line-Associated Bloodstream Infection (CLABSI)"/>
    <n v="30000130"/>
    <x v="242"/>
    <x v="32"/>
    <s v="Acute Care Hospital"/>
    <x v="1"/>
    <x v="10"/>
    <x v="215"/>
    <x v="0"/>
  </r>
  <r>
    <n v="2021"/>
    <x v="0"/>
    <s v="Central Line-Associated Bloodstream Infection (CLABSI)"/>
    <n v="30000133"/>
    <x v="243"/>
    <x v="32"/>
    <s v="Acute Care Hospital"/>
    <x v="1"/>
    <x v="10"/>
    <x v="216"/>
    <x v="0"/>
  </r>
  <r>
    <n v="2021"/>
    <x v="0"/>
    <s v="Central Line-Associated Bloodstream Infection (CLABSI)"/>
    <n v="30000124"/>
    <x v="244"/>
    <x v="32"/>
    <s v="Acute Care Hospital"/>
    <x v="1"/>
    <x v="5"/>
    <x v="217"/>
    <x v="0"/>
  </r>
  <r>
    <n v="2021"/>
    <x v="0"/>
    <s v="Central Line-Associated Bloodstream Infection (CLABSI)"/>
    <n v="30000124"/>
    <x v="244"/>
    <x v="32"/>
    <s v="Rehabilitation Hospital or Unit"/>
    <x v="2"/>
    <x v="2"/>
    <x v="69"/>
    <x v="1"/>
  </r>
  <r>
    <n v="2021"/>
    <x v="0"/>
    <s v="Central Line-Associated Bloodstream Infection (CLABSI)"/>
    <n v="30000901"/>
    <x v="245"/>
    <x v="32"/>
    <s v="Acute Care Hospital"/>
    <x v="0"/>
    <x v="8"/>
    <x v="218"/>
    <x v="0"/>
  </r>
  <r>
    <n v="2021"/>
    <x v="0"/>
    <s v="Central Line-Associated Bloodstream Infection (CLABSI)"/>
    <n v="30000127"/>
    <x v="246"/>
    <x v="32"/>
    <s v="Acute Care Hospital"/>
    <x v="1"/>
    <x v="3"/>
    <x v="219"/>
    <x v="2"/>
  </r>
  <r>
    <n v="2021"/>
    <x v="0"/>
    <s v="Central Line-Associated Bloodstream Infection (CLABSI)"/>
    <n v="30000037"/>
    <x v="247"/>
    <x v="32"/>
    <s v="Acute Care Hospital"/>
    <x v="3"/>
    <x v="5"/>
    <x v="220"/>
    <x v="3"/>
  </r>
  <r>
    <n v="2021"/>
    <x v="0"/>
    <s v="Central Line-Associated Bloodstream Infection (CLABSI)"/>
    <n v="30001506"/>
    <x v="248"/>
    <x v="32"/>
    <s v="Acute Care Hospital"/>
    <x v="5"/>
    <x v="0"/>
    <x v="212"/>
    <x v="0"/>
  </r>
  <r>
    <n v="2021"/>
    <x v="0"/>
    <s v="Central Line-Associated Bloodstream Infection (CLABSI)"/>
    <n v="30000151"/>
    <x v="249"/>
    <x v="32"/>
    <s v="Acute Care Hospital"/>
    <x v="1"/>
    <x v="36"/>
    <x v="221"/>
    <x v="2"/>
  </r>
  <r>
    <n v="2021"/>
    <x v="0"/>
    <s v="Central Line-Associated Bloodstream Infection (CLABSI)"/>
    <n v="30000113"/>
    <x v="250"/>
    <x v="32"/>
    <s v="Acute Care Hospital"/>
    <x v="1"/>
    <x v="37"/>
    <x v="222"/>
    <x v="2"/>
  </r>
  <r>
    <n v="2021"/>
    <x v="0"/>
    <s v="Central Line-Associated Bloodstream Infection (CLABSI)"/>
    <n v="30000113"/>
    <x v="250"/>
    <x v="32"/>
    <s v="Rehabilitation Hospital or Unit"/>
    <x v="2"/>
    <x v="2"/>
    <x v="201"/>
    <x v="0"/>
  </r>
  <r>
    <n v="2021"/>
    <x v="0"/>
    <s v="Central Line-Associated Bloodstream Infection (CLABSI)"/>
    <n v="30000907"/>
    <x v="251"/>
    <x v="32"/>
    <s v="Long-Term Acute Care Hospital"/>
    <x v="4"/>
    <x v="14"/>
    <x v="223"/>
    <x v="0"/>
  </r>
  <r>
    <n v="2021"/>
    <x v="0"/>
    <s v="Central Line-Associated Bloodstream Infection (CLABSI)"/>
    <n v="70000142"/>
    <x v="252"/>
    <x v="33"/>
    <s v="Critical Access Hospital"/>
    <x v="8"/>
    <x v="2"/>
    <x v="57"/>
    <x v="0"/>
  </r>
  <r>
    <n v="2021"/>
    <x v="0"/>
    <s v="Central Line-Associated Bloodstream Infection (CLABSI)"/>
    <n v="240000100"/>
    <x v="253"/>
    <x v="34"/>
    <s v="Acute Care Hospital"/>
    <x v="1"/>
    <x v="36"/>
    <x v="224"/>
    <x v="0"/>
  </r>
  <r>
    <n v="2021"/>
    <x v="0"/>
    <s v="Central Line-Associated Bloodstream Infection (CLABSI)"/>
    <n v="240001218"/>
    <x v="254"/>
    <x v="34"/>
    <s v="Rehabilitation Hospital or Unit"/>
    <x v="7"/>
    <x v="2"/>
    <x v="225"/>
    <x v="0"/>
  </r>
  <r>
    <n v="2021"/>
    <x v="0"/>
    <s v="Central Line-Associated Bloodstream Infection (CLABSI)"/>
    <n v="240000001"/>
    <x v="255"/>
    <x v="34"/>
    <s v="Acute Care Hospital"/>
    <x v="0"/>
    <x v="0"/>
    <x v="226"/>
    <x v="0"/>
  </r>
  <r>
    <n v="2021"/>
    <x v="0"/>
    <s v="Central Line-Associated Bloodstream Infection (CLABSI)"/>
    <n v="240000002"/>
    <x v="256"/>
    <x v="34"/>
    <s v="Critical Access Hospital"/>
    <x v="8"/>
    <x v="2"/>
    <x v="38"/>
    <x v="1"/>
  </r>
  <r>
    <n v="2021"/>
    <x v="0"/>
    <s v="Central Line-Associated Bloodstream Infection (CLABSI)"/>
    <n v="240000003"/>
    <x v="257"/>
    <x v="34"/>
    <s v="Acute Care Hospital"/>
    <x v="0"/>
    <x v="9"/>
    <x v="227"/>
    <x v="0"/>
  </r>
  <r>
    <n v="2021"/>
    <x v="0"/>
    <s v="Central Line-Associated Bloodstream Infection (CLABSI)"/>
    <n v="240000034"/>
    <x v="258"/>
    <x v="34"/>
    <s v="Critical Access Hospital"/>
    <x v="8"/>
    <x v="2"/>
    <x v="38"/>
    <x v="1"/>
  </r>
  <r>
    <n v="2021"/>
    <x v="0"/>
    <s v="Central Line-Associated Bloodstream Infection (CLABSI)"/>
    <n v="240000082"/>
    <x v="259"/>
    <x v="34"/>
    <s v="Acute Care Hospital"/>
    <x v="6"/>
    <x v="19"/>
    <x v="228"/>
    <x v="3"/>
  </r>
  <r>
    <n v="2021"/>
    <x v="0"/>
    <s v="Central Line-Associated Bloodstream Infection (CLABSI)"/>
    <n v="240001330"/>
    <x v="260"/>
    <x v="34"/>
    <s v="Acute Care Hospital"/>
    <x v="3"/>
    <x v="9"/>
    <x v="229"/>
    <x v="2"/>
  </r>
  <r>
    <n v="2021"/>
    <x v="0"/>
    <s v="Central Line-Associated Bloodstream Infection (CLABSI)"/>
    <n v="240000014"/>
    <x v="261"/>
    <x v="34"/>
    <s v="Acute Care Hospital"/>
    <x v="0"/>
    <x v="9"/>
    <x v="230"/>
    <x v="0"/>
  </r>
  <r>
    <n v="2021"/>
    <x v="0"/>
    <s v="Central Line-Associated Bloodstream Infection (CLABSI)"/>
    <n v="240000024"/>
    <x v="262"/>
    <x v="34"/>
    <s v="Acute Care Hospital"/>
    <x v="1"/>
    <x v="20"/>
    <x v="231"/>
    <x v="0"/>
  </r>
  <r>
    <n v="2021"/>
    <x v="0"/>
    <s v="Central Line-Associated Bloodstream Infection (CLABSI)"/>
    <n v="630013398"/>
    <x v="263"/>
    <x v="34"/>
    <s v="Acute Care Hospital"/>
    <x v="1"/>
    <x v="19"/>
    <x v="232"/>
    <x v="0"/>
  </r>
  <r>
    <n v="2021"/>
    <x v="0"/>
    <s v="Central Line-Associated Bloodstream Infection (CLABSI)"/>
    <n v="240000040"/>
    <x v="264"/>
    <x v="34"/>
    <s v="Long-Term Acute Care Hospital"/>
    <x v="4"/>
    <x v="4"/>
    <x v="233"/>
    <x v="2"/>
  </r>
  <r>
    <n v="2021"/>
    <x v="0"/>
    <s v="Central Line-Associated Bloodstream Infection (CLABSI)"/>
    <n v="240001515"/>
    <x v="265"/>
    <x v="34"/>
    <s v="Long-Term Acute Care Hospital"/>
    <x v="4"/>
    <x v="38"/>
    <x v="234"/>
    <x v="3"/>
  </r>
  <r>
    <n v="2021"/>
    <x v="0"/>
    <s v="Central Line-Associated Bloodstream Infection (CLABSI)"/>
    <n v="630015551"/>
    <x v="266"/>
    <x v="34"/>
    <s v="Acute Care Hospital"/>
    <x v="1"/>
    <x v="7"/>
    <x v="235"/>
    <x v="2"/>
  </r>
  <r>
    <n v="2021"/>
    <x v="0"/>
    <s v="Central Line-Associated Bloodstream Infection (CLABSI)"/>
    <n v="240000027"/>
    <x v="267"/>
    <x v="34"/>
    <s v="Acute Care Hospital"/>
    <x v="1"/>
    <x v="26"/>
    <x v="236"/>
    <x v="2"/>
  </r>
  <r>
    <n v="2021"/>
    <x v="0"/>
    <s v="Central Line-Associated Bloodstream Infection (CLABSI)"/>
    <n v="240000025"/>
    <x v="268"/>
    <x v="34"/>
    <s v="Acute Care Hospital"/>
    <x v="1"/>
    <x v="2"/>
    <x v="237"/>
    <x v="0"/>
  </r>
  <r>
    <n v="2021"/>
    <x v="0"/>
    <s v="Central Line-Associated Bloodstream Infection (CLABSI)"/>
    <n v="240000025"/>
    <x v="268"/>
    <x v="34"/>
    <s v="Rehabilitation Hospital or Unit"/>
    <x v="2"/>
    <x v="9"/>
    <x v="238"/>
    <x v="0"/>
  </r>
  <r>
    <n v="2021"/>
    <x v="0"/>
    <s v="Central Line-Associated Bloodstream Infection (CLABSI)"/>
    <n v="630012294"/>
    <x v="269"/>
    <x v="34"/>
    <s v="Acute Care Hospital"/>
    <x v="1"/>
    <x v="9"/>
    <x v="47"/>
    <x v="0"/>
  </r>
  <r>
    <n v="2021"/>
    <x v="0"/>
    <s v="Central Line-Associated Bloodstream Infection (CLABSI)"/>
    <n v="240000009"/>
    <x v="270"/>
    <x v="34"/>
    <s v="Acute Care Hospital"/>
    <x v="0"/>
    <x v="0"/>
    <x v="60"/>
    <x v="0"/>
  </r>
  <r>
    <n v="2021"/>
    <x v="0"/>
    <s v="Central Line-Associated Bloodstream Infection (CLABSI)"/>
    <n v="240000052"/>
    <x v="271"/>
    <x v="34"/>
    <s v="Critical Access Hospital"/>
    <x v="8"/>
    <x v="2"/>
    <x v="53"/>
    <x v="1"/>
  </r>
  <r>
    <n v="2021"/>
    <x v="0"/>
    <s v="Central Line-Associated Bloodstream Infection (CLABSI)"/>
    <n v="240000104"/>
    <x v="272"/>
    <x v="34"/>
    <s v="Acute Care Hospital"/>
    <x v="1"/>
    <x v="11"/>
    <x v="239"/>
    <x v="0"/>
  </r>
  <r>
    <n v="2021"/>
    <x v="0"/>
    <s v="Central Line-Associated Bloodstream Infection (CLABSI)"/>
    <n v="240000046"/>
    <x v="273"/>
    <x v="34"/>
    <s v="Acute Care Hospital"/>
    <x v="3"/>
    <x v="3"/>
    <x v="240"/>
    <x v="0"/>
  </r>
  <r>
    <n v="2021"/>
    <x v="0"/>
    <s v="Central Line-Associated Bloodstream Infection (CLABSI)"/>
    <n v="240000053"/>
    <x v="274"/>
    <x v="34"/>
    <s v="Acute Care Hospital"/>
    <x v="6"/>
    <x v="30"/>
    <x v="241"/>
    <x v="0"/>
  </r>
  <r>
    <n v="2021"/>
    <x v="0"/>
    <s v="Central Line-Associated Bloodstream Infection (CLABSI)"/>
    <n v="240000103"/>
    <x v="275"/>
    <x v="34"/>
    <s v="Acute Care Hospital"/>
    <x v="1"/>
    <x v="19"/>
    <x v="242"/>
    <x v="0"/>
  </r>
  <r>
    <n v="2021"/>
    <x v="0"/>
    <s v="Central Line-Associated Bloodstream Infection (CLABSI)"/>
    <n v="630012380"/>
    <x v="276"/>
    <x v="34"/>
    <s v="Rehabilitation Hospital or Unit"/>
    <x v="7"/>
    <x v="2"/>
    <x v="91"/>
    <x v="1"/>
  </r>
  <r>
    <n v="2021"/>
    <x v="0"/>
    <s v="Central Line-Associated Bloodstream Infection (CLABSI)"/>
    <n v="240000054"/>
    <x v="277"/>
    <x v="34"/>
    <s v="Acute Care Hospital"/>
    <x v="0"/>
    <x v="0"/>
    <x v="146"/>
    <x v="0"/>
  </r>
  <r>
    <n v="2021"/>
    <x v="0"/>
    <s v="Central Line-Associated Bloodstream Infection (CLABSI)"/>
    <n v="90000013"/>
    <x v="278"/>
    <x v="35"/>
    <s v="Acute Care Hospital"/>
    <x v="3"/>
    <x v="9"/>
    <x v="243"/>
    <x v="0"/>
  </r>
  <r>
    <n v="2021"/>
    <x v="0"/>
    <s v="Central Line-Associated Bloodstream Infection (CLABSI)"/>
    <n v="80000045"/>
    <x v="279"/>
    <x v="35"/>
    <s v="Acute Care Hospital"/>
    <x v="1"/>
    <x v="4"/>
    <x v="244"/>
    <x v="2"/>
  </r>
  <r>
    <n v="2021"/>
    <x v="0"/>
    <s v="Central Line-Associated Bloodstream Infection (CLABSI)"/>
    <n v="80000045"/>
    <x v="279"/>
    <x v="35"/>
    <s v="Rehabilitation Hospital or Unit"/>
    <x v="2"/>
    <x v="2"/>
    <x v="245"/>
    <x v="1"/>
  </r>
  <r>
    <n v="2021"/>
    <x v="0"/>
    <s v="Central Line-Associated Bloodstream Infection (CLABSI)"/>
    <n v="630017096"/>
    <x v="280"/>
    <x v="35"/>
    <s v="Acute Care Hospital"/>
    <x v="1"/>
    <x v="8"/>
    <x v="246"/>
    <x v="2"/>
  </r>
  <r>
    <n v="2021"/>
    <x v="0"/>
    <s v="Central Line-Associated Bloodstream Infection (CLABSI)"/>
    <n v="80000144"/>
    <x v="281"/>
    <x v="35"/>
    <s v="Acute Care Hospital"/>
    <x v="1"/>
    <x v="26"/>
    <x v="247"/>
    <x v="0"/>
  </r>
  <r>
    <n v="2021"/>
    <x v="0"/>
    <s v="Central Line-Associated Bloodstream Infection (CLABSI)"/>
    <n v="90000048"/>
    <x v="282"/>
    <x v="35"/>
    <s v="Long-Term Acute Care Hospital"/>
    <x v="4"/>
    <x v="5"/>
    <x v="248"/>
    <x v="0"/>
  </r>
  <r>
    <n v="2021"/>
    <x v="0"/>
    <s v="Central Line-Associated Bloodstream Infection (CLABSI)"/>
    <n v="630013873"/>
    <x v="283"/>
    <x v="35"/>
    <s v="Acute Care Hospital"/>
    <x v="6"/>
    <x v="17"/>
    <x v="249"/>
    <x v="0"/>
  </r>
  <r>
    <n v="2021"/>
    <x v="0"/>
    <s v="Central Line-Associated Bloodstream Infection (CLABSI)"/>
    <n v="80000147"/>
    <x v="284"/>
    <x v="35"/>
    <s v="Acute Care Hospital"/>
    <x v="0"/>
    <x v="8"/>
    <x v="250"/>
    <x v="0"/>
  </r>
  <r>
    <n v="2021"/>
    <x v="0"/>
    <s v="Central Line-Associated Bloodstream Infection (CLABSI)"/>
    <n v="80000147"/>
    <x v="284"/>
    <x v="35"/>
    <s v="Rehabilitation Hospital or Unit"/>
    <x v="2"/>
    <x v="2"/>
    <x v="53"/>
    <x v="1"/>
  </r>
  <r>
    <n v="2021"/>
    <x v="0"/>
    <s v="Central Line-Associated Bloodstream Infection (CLABSI)"/>
    <n v="90000145"/>
    <x v="285"/>
    <x v="35"/>
    <s v="Acute Care Hospital"/>
    <x v="6"/>
    <x v="9"/>
    <x v="212"/>
    <x v="0"/>
  </r>
  <r>
    <n v="2021"/>
    <x v="0"/>
    <s v="Central Line-Associated Bloodstream Infection (CLABSI)"/>
    <n v="90000145"/>
    <x v="285"/>
    <x v="35"/>
    <s v="Rehabilitation Hospital or Unit"/>
    <x v="2"/>
    <x v="2"/>
    <x v="32"/>
    <x v="1"/>
  </r>
  <r>
    <n v="2021"/>
    <x v="0"/>
    <s v="Central Line-Associated Bloodstream Infection (CLABSI)"/>
    <n v="80000023"/>
    <x v="286"/>
    <x v="35"/>
    <s v="Acute Care Hospital"/>
    <x v="5"/>
    <x v="39"/>
    <x v="251"/>
    <x v="0"/>
  </r>
  <r>
    <n v="2021"/>
    <x v="0"/>
    <s v="Central Line-Associated Bloodstream Infection (CLABSI)"/>
    <n v="80000022"/>
    <x v="287"/>
    <x v="35"/>
    <s v="Acute Care Hospital"/>
    <x v="3"/>
    <x v="24"/>
    <x v="70"/>
    <x v="0"/>
  </r>
  <r>
    <n v="2021"/>
    <x v="0"/>
    <s v="Central Line-Associated Bloodstream Infection (CLABSI)"/>
    <n v="80000150"/>
    <x v="288"/>
    <x v="35"/>
    <s v="Acute Care Hospital"/>
    <x v="3"/>
    <x v="9"/>
    <x v="147"/>
    <x v="0"/>
  </r>
  <r>
    <n v="2021"/>
    <x v="0"/>
    <s v="Central Line-Associated Bloodstream Infection (CLABSI)"/>
    <n v="80000149"/>
    <x v="289"/>
    <x v="35"/>
    <s v="Acute Care Hospital"/>
    <x v="6"/>
    <x v="30"/>
    <x v="252"/>
    <x v="0"/>
  </r>
  <r>
    <n v="2021"/>
    <x v="0"/>
    <s v="Central Line-Associated Bloodstream Infection (CLABSI)"/>
    <n v="90000025"/>
    <x v="290"/>
    <x v="35"/>
    <s v="Acute Care Hospital"/>
    <x v="1"/>
    <x v="24"/>
    <x v="253"/>
    <x v="0"/>
  </r>
  <r>
    <n v="2021"/>
    <x v="0"/>
    <s v="Central Line-Associated Bloodstream Infection (CLABSI)"/>
    <n v="90000016"/>
    <x v="291"/>
    <x v="35"/>
    <s v="Acute Care Hospital"/>
    <x v="3"/>
    <x v="3"/>
    <x v="254"/>
    <x v="0"/>
  </r>
  <r>
    <n v="2021"/>
    <x v="0"/>
    <s v="Central Line-Associated Bloodstream Infection (CLABSI)"/>
    <n v="90000977"/>
    <x v="292"/>
    <x v="35"/>
    <s v="Long-Term Acute Care Hospital"/>
    <x v="4"/>
    <x v="19"/>
    <x v="255"/>
    <x v="2"/>
  </r>
  <r>
    <n v="2021"/>
    <x v="0"/>
    <s v="Central Line-Associated Bloodstream Infection (CLABSI)"/>
    <n v="90000021"/>
    <x v="293"/>
    <x v="35"/>
    <s v="Acute Care Hospital"/>
    <x v="6"/>
    <x v="11"/>
    <x v="256"/>
    <x v="0"/>
  </r>
  <r>
    <n v="2021"/>
    <x v="0"/>
    <s v="Central Line-Associated Bloodstream Infection (CLABSI)"/>
    <n v="90000033"/>
    <x v="294"/>
    <x v="35"/>
    <s v="Acute Care Hospital"/>
    <x v="1"/>
    <x v="4"/>
    <x v="257"/>
    <x v="3"/>
  </r>
  <r>
    <n v="2021"/>
    <x v="0"/>
    <s v="Central Line-Associated Bloodstream Infection (CLABSI)"/>
    <n v="80001470"/>
    <x v="295"/>
    <x v="35"/>
    <s v="Acute Care Hospital"/>
    <x v="1"/>
    <x v="8"/>
    <x v="258"/>
    <x v="0"/>
  </r>
  <r>
    <n v="2021"/>
    <x v="0"/>
    <s v="Central Line-Associated Bloodstream Infection (CLABSI)"/>
    <n v="80000036"/>
    <x v="296"/>
    <x v="35"/>
    <s v="Acute Care Hospital"/>
    <x v="1"/>
    <x v="38"/>
    <x v="259"/>
    <x v="0"/>
  </r>
  <r>
    <n v="2021"/>
    <x v="0"/>
    <s v="Central Line-Associated Bloodstream Infection (CLABSI)"/>
    <n v="80000036"/>
    <x v="296"/>
    <x v="35"/>
    <s v="Rehabilitation Hospital or Unit"/>
    <x v="2"/>
    <x v="9"/>
    <x v="33"/>
    <x v="0"/>
  </r>
  <r>
    <n v="2021"/>
    <x v="0"/>
    <s v="Central Line-Associated Bloodstream Infection (CLABSI)"/>
    <n v="80000152"/>
    <x v="297"/>
    <x v="35"/>
    <s v="Acute Care Hospital"/>
    <x v="6"/>
    <x v="19"/>
    <x v="260"/>
    <x v="0"/>
  </r>
  <r>
    <n v="2021"/>
    <x v="0"/>
    <s v="Central Line-Associated Bloodstream Infection (CLABSI)"/>
    <n v="80000152"/>
    <x v="297"/>
    <x v="35"/>
    <s v="Rehabilitation Hospital or Unit"/>
    <x v="2"/>
    <x v="2"/>
    <x v="46"/>
    <x v="1"/>
  </r>
  <r>
    <n v="2021"/>
    <x v="0"/>
    <s v="Central Line-Associated Bloodstream Infection (CLABSI)"/>
    <n v="90000154"/>
    <x v="298"/>
    <x v="35"/>
    <s v="Acute Care Hospital"/>
    <x v="1"/>
    <x v="5"/>
    <x v="261"/>
    <x v="2"/>
  </r>
  <r>
    <n v="2021"/>
    <x v="0"/>
    <s v="Central Line-Associated Bloodstream Infection (CLABSI)"/>
    <n v="90001116"/>
    <x v="299"/>
    <x v="35"/>
    <s v="Acute Care Hospital"/>
    <x v="1"/>
    <x v="16"/>
    <x v="262"/>
    <x v="2"/>
  </r>
  <r>
    <n v="2021"/>
    <x v="0"/>
    <s v="Central Line-Associated Bloodstream Infection (CLABSI)"/>
    <n v="220000023"/>
    <x v="300"/>
    <x v="36"/>
    <s v="Acute Care Hospital"/>
    <x v="1"/>
    <x v="3"/>
    <x v="263"/>
    <x v="0"/>
  </r>
  <r>
    <n v="2021"/>
    <x v="0"/>
    <s v="Central Line-Associated Bloodstream Infection (CLABSI)"/>
    <n v="220000023"/>
    <x v="300"/>
    <x v="36"/>
    <s v="Rehabilitation Hospital or Unit"/>
    <x v="2"/>
    <x v="2"/>
    <x v="264"/>
    <x v="0"/>
  </r>
  <r>
    <n v="2021"/>
    <x v="0"/>
    <s v="Central Line-Associated Bloodstream Infection (CLABSI)"/>
    <n v="220000018"/>
    <x v="301"/>
    <x v="36"/>
    <s v="Acute Care Hospital"/>
    <x v="1"/>
    <x v="0"/>
    <x v="121"/>
    <x v="0"/>
  </r>
  <r>
    <n v="2021"/>
    <x v="0"/>
    <s v="Central Line-Associated Bloodstream Infection (CLABSI)"/>
    <n v="220000022"/>
    <x v="302"/>
    <x v="36"/>
    <s v="Acute Care Hospital"/>
    <x v="1"/>
    <x v="10"/>
    <x v="265"/>
    <x v="2"/>
  </r>
  <r>
    <n v="2021"/>
    <x v="0"/>
    <s v="Central Line-Associated Bloodstream Infection (CLABSI)"/>
    <n v="220000003"/>
    <x v="303"/>
    <x v="36"/>
    <s v="Acute Care Hospital"/>
    <x v="0"/>
    <x v="2"/>
    <x v="266"/>
    <x v="0"/>
  </r>
  <r>
    <n v="2021"/>
    <x v="0"/>
    <s v="Central Line-Associated Bloodstream Infection (CLABSI)"/>
    <n v="220000008"/>
    <x v="304"/>
    <x v="36"/>
    <s v="Acute Care Hospital"/>
    <x v="1"/>
    <x v="5"/>
    <x v="267"/>
    <x v="0"/>
  </r>
  <r>
    <n v="2021"/>
    <x v="0"/>
    <s v="Central Line-Associated Bloodstream Infection (CLABSI)"/>
    <n v="630016625"/>
    <x v="305"/>
    <x v="36"/>
    <s v="Long-Term Acute Care Hospital"/>
    <x v="4"/>
    <x v="9"/>
    <x v="268"/>
    <x v="2"/>
  </r>
  <r>
    <n v="2021"/>
    <x v="0"/>
    <s v="Central Line-Associated Bloodstream Infection (CLABSI)"/>
    <n v="220000012"/>
    <x v="306"/>
    <x v="36"/>
    <s v="Acute Care Hospital"/>
    <x v="0"/>
    <x v="2"/>
    <x v="32"/>
    <x v="1"/>
  </r>
  <r>
    <n v="2021"/>
    <x v="0"/>
    <s v="Central Line-Associated Bloodstream Infection (CLABSI)"/>
    <n v="220000012"/>
    <x v="306"/>
    <x v="36"/>
    <s v="Rehabilitation Hospital or Unit"/>
    <x v="2"/>
    <x v="2"/>
    <x v="38"/>
    <x v="1"/>
  </r>
  <r>
    <n v="2021"/>
    <x v="0"/>
    <s v="Central Line-Associated Bloodstream Infection (CLABSI)"/>
    <n v="220000029"/>
    <x v="307"/>
    <x v="36"/>
    <s v="Acute Care Hospital"/>
    <x v="3"/>
    <x v="2"/>
    <x v="269"/>
    <x v="2"/>
  </r>
  <r>
    <n v="2021"/>
    <x v="0"/>
    <s v="Central Line-Associated Bloodstream Infection (CLABSI)"/>
    <n v="220000029"/>
    <x v="307"/>
    <x v="36"/>
    <s v="Rehabilitation Hospital or Unit"/>
    <x v="2"/>
    <x v="2"/>
    <x v="270"/>
    <x v="0"/>
  </r>
  <r>
    <n v="2021"/>
    <x v="0"/>
    <s v="Central Line-Associated Bloodstream Infection (CLABSI)"/>
    <n v="220000030"/>
    <x v="308"/>
    <x v="36"/>
    <s v="Acute Care Hospital"/>
    <x v="3"/>
    <x v="9"/>
    <x v="271"/>
    <x v="0"/>
  </r>
  <r>
    <n v="2021"/>
    <x v="0"/>
    <s v="Central Line-Associated Bloodstream Infection (CLABSI)"/>
    <n v="220000030"/>
    <x v="308"/>
    <x v="36"/>
    <s v="Rehabilitation Hospital or Unit"/>
    <x v="2"/>
    <x v="2"/>
    <x v="225"/>
    <x v="0"/>
  </r>
  <r>
    <n v="2021"/>
    <x v="0"/>
    <s v="Central Line-Associated Bloodstream Infection (CLABSI)"/>
    <n v="220000031"/>
    <x v="309"/>
    <x v="36"/>
    <s v="Acute Care Hospital"/>
    <x v="1"/>
    <x v="40"/>
    <x v="272"/>
    <x v="0"/>
  </r>
  <r>
    <n v="2021"/>
    <x v="0"/>
    <s v="Central Line-Associated Bloodstream Infection (CLABSI)"/>
    <n v="630015778"/>
    <x v="310"/>
    <x v="36"/>
    <s v="Acute Care Hospital"/>
    <x v="1"/>
    <x v="15"/>
    <x v="273"/>
    <x v="0"/>
  </r>
  <r>
    <n v="2021"/>
    <x v="0"/>
    <s v="Central Line-Associated Bloodstream Infection (CLABSI)"/>
    <n v="220000015"/>
    <x v="311"/>
    <x v="36"/>
    <s v="Acute Care Hospital"/>
    <x v="1"/>
    <x v="9"/>
    <x v="274"/>
    <x v="0"/>
  </r>
  <r>
    <n v="2021"/>
    <x v="0"/>
    <s v="Central Line-Associated Bloodstream Infection (CLABSI)"/>
    <n v="220000019"/>
    <x v="312"/>
    <x v="36"/>
    <s v="Acute Care Hospital"/>
    <x v="1"/>
    <x v="1"/>
    <x v="275"/>
    <x v="0"/>
  </r>
  <r>
    <n v="2021"/>
    <x v="0"/>
    <s v="Central Line-Associated Bloodstream Infection (CLABSI)"/>
    <n v="30000139"/>
    <x v="313"/>
    <x v="37"/>
    <s v="Acute Care Hospital"/>
    <x v="3"/>
    <x v="3"/>
    <x v="276"/>
    <x v="0"/>
  </r>
  <r>
    <n v="2021"/>
    <x v="0"/>
    <s v="Central Line-Associated Bloodstream Infection (CLABSI)"/>
    <n v="30000139"/>
    <x v="313"/>
    <x v="37"/>
    <s v="Rehabilitation Hospital or Unit"/>
    <x v="2"/>
    <x v="2"/>
    <x v="32"/>
    <x v="1"/>
  </r>
  <r>
    <n v="2021"/>
    <x v="0"/>
    <s v="Central Line-Associated Bloodstream Infection (CLABSI)"/>
    <n v="30000117"/>
    <x v="314"/>
    <x v="37"/>
    <s v="Acute Care Hospital"/>
    <x v="6"/>
    <x v="4"/>
    <x v="277"/>
    <x v="0"/>
  </r>
  <r>
    <n v="2021"/>
    <x v="0"/>
    <s v="Central Line-Associated Bloodstream Infection (CLABSI)"/>
    <n v="30000118"/>
    <x v="315"/>
    <x v="37"/>
    <s v="Acute Care Hospital"/>
    <x v="0"/>
    <x v="10"/>
    <x v="278"/>
    <x v="3"/>
  </r>
  <r>
    <n v="2021"/>
    <x v="0"/>
    <s v="Central Line-Associated Bloodstream Infection (CLABSI)"/>
    <n v="30000973"/>
    <x v="316"/>
    <x v="37"/>
    <s v="Acute Care Hospital"/>
    <x v="0"/>
    <x v="2"/>
    <x v="279"/>
    <x v="0"/>
  </r>
  <r>
    <n v="2021"/>
    <x v="0"/>
    <s v="Central Line-Associated Bloodstream Infection (CLABSI)"/>
    <n v="30000135"/>
    <x v="317"/>
    <x v="37"/>
    <s v="Acute Care Hospital"/>
    <x v="1"/>
    <x v="27"/>
    <x v="280"/>
    <x v="3"/>
  </r>
  <r>
    <n v="2021"/>
    <x v="0"/>
    <s v="Central Line-Associated Bloodstream Infection (CLABSI)"/>
    <n v="30000143"/>
    <x v="318"/>
    <x v="37"/>
    <s v="Acute Care Hospital"/>
    <x v="6"/>
    <x v="41"/>
    <x v="281"/>
    <x v="3"/>
  </r>
  <r>
    <n v="2021"/>
    <x v="0"/>
    <s v="Central Line-Associated Bloodstream Infection (CLABSI)"/>
    <n v="30000141"/>
    <x v="319"/>
    <x v="37"/>
    <s v="Acute Care Hospital"/>
    <x v="0"/>
    <x v="2"/>
    <x v="282"/>
    <x v="0"/>
  </r>
  <r>
    <n v="2021"/>
    <x v="0"/>
    <s v="Central Line-Associated Bloodstream Infection (CLABSI)"/>
    <n v="50000016"/>
    <x v="320"/>
    <x v="38"/>
    <s v="Acute Care Hospital"/>
    <x v="0"/>
    <x v="8"/>
    <x v="156"/>
    <x v="0"/>
  </r>
  <r>
    <n v="2021"/>
    <x v="0"/>
    <s v="Central Line-Associated Bloodstream Infection (CLABSI)"/>
    <n v="50000009"/>
    <x v="321"/>
    <x v="38"/>
    <s v="Acute Care Hospital"/>
    <x v="0"/>
    <x v="2"/>
    <x v="264"/>
    <x v="0"/>
  </r>
  <r>
    <n v="2021"/>
    <x v="0"/>
    <s v="Central Line-Associated Bloodstream Infection (CLABSI)"/>
    <n v="50000009"/>
    <x v="321"/>
    <x v="38"/>
    <s v="Rehabilitation Hospital or Unit"/>
    <x v="2"/>
    <x v="2"/>
    <x v="136"/>
    <x v="1"/>
  </r>
  <r>
    <n v="2021"/>
    <x v="0"/>
    <s v="Central Line-Associated Bloodstream Infection (CLABSI)"/>
    <n v="50000031"/>
    <x v="322"/>
    <x v="38"/>
    <s v="Acute Care Hospital"/>
    <x v="3"/>
    <x v="0"/>
    <x v="12"/>
    <x v="0"/>
  </r>
  <r>
    <n v="2021"/>
    <x v="0"/>
    <s v="Central Line-Associated Bloodstream Infection (CLABSI)"/>
    <n v="50000037"/>
    <x v="323"/>
    <x v="38"/>
    <s v="Acute Care Hospital"/>
    <x v="0"/>
    <x v="2"/>
    <x v="283"/>
    <x v="0"/>
  </r>
  <r>
    <n v="2021"/>
    <x v="0"/>
    <s v="Central Line-Associated Bloodstream Infection (CLABSI)"/>
    <n v="220000026"/>
    <x v="324"/>
    <x v="39"/>
    <s v="Acute Care Hospital"/>
    <x v="3"/>
    <x v="9"/>
    <x v="284"/>
    <x v="0"/>
  </r>
  <r>
    <n v="2021"/>
    <x v="0"/>
    <s v="Central Line-Associated Bloodstream Infection (CLABSI)"/>
    <n v="220000010"/>
    <x v="325"/>
    <x v="39"/>
    <s v="Acute Care Hospital"/>
    <x v="1"/>
    <x v="2"/>
    <x v="285"/>
    <x v="2"/>
  </r>
  <r>
    <n v="2021"/>
    <x v="0"/>
    <s v="Central Line-Associated Bloodstream Infection (CLABSI)"/>
    <n v="220000009"/>
    <x v="326"/>
    <x v="39"/>
    <s v="Acute Care Hospital"/>
    <x v="0"/>
    <x v="9"/>
    <x v="286"/>
    <x v="0"/>
  </r>
  <r>
    <n v="2021"/>
    <x v="0"/>
    <s v="Central Line-Associated Bloodstream Infection (CLABSI)"/>
    <n v="220000017"/>
    <x v="327"/>
    <x v="39"/>
    <s v="Acute Care Hospital"/>
    <x v="3"/>
    <x v="2"/>
    <x v="287"/>
    <x v="2"/>
  </r>
  <r>
    <n v="2021"/>
    <x v="0"/>
    <s v="Central Line-Associated Bloodstream Infection (CLABSI)"/>
    <n v="220000007"/>
    <x v="328"/>
    <x v="39"/>
    <s v="Acute Care Hospital"/>
    <x v="1"/>
    <x v="2"/>
    <x v="288"/>
    <x v="0"/>
  </r>
  <r>
    <n v="2021"/>
    <x v="0"/>
    <s v="Central Line-Associated Bloodstream Infection (CLABSI)"/>
    <n v="220000025"/>
    <x v="329"/>
    <x v="39"/>
    <s v="Acute Care Hospital"/>
    <x v="3"/>
    <x v="9"/>
    <x v="289"/>
    <x v="0"/>
  </r>
  <r>
    <n v="2021"/>
    <x v="0"/>
    <s v="Central Line-Associated Bloodstream Infection (CLABSI)"/>
    <n v="50000017"/>
    <x v="330"/>
    <x v="40"/>
    <s v="Acute Care Hospital"/>
    <x v="0"/>
    <x v="2"/>
    <x v="148"/>
    <x v="1"/>
  </r>
  <r>
    <n v="2021"/>
    <x v="0"/>
    <s v="Central Line-Associated Bloodstream Infection (CLABSI)"/>
    <n v="50000018"/>
    <x v="331"/>
    <x v="40"/>
    <s v="Acute Care Hospital"/>
    <x v="1"/>
    <x v="2"/>
    <x v="290"/>
    <x v="0"/>
  </r>
  <r>
    <n v="2021"/>
    <x v="0"/>
    <s v="Central Line-Associated Bloodstream Infection (CLABSI)"/>
    <n v="50000021"/>
    <x v="332"/>
    <x v="40"/>
    <s v="Acute Care Hospital"/>
    <x v="3"/>
    <x v="14"/>
    <x v="291"/>
    <x v="0"/>
  </r>
  <r>
    <n v="2021"/>
    <x v="0"/>
    <s v="Central Line-Associated Bloodstream Infection (CLABSI)"/>
    <n v="50000280"/>
    <x v="333"/>
    <x v="40"/>
    <s v="Acute Care Hospital"/>
    <x v="1"/>
    <x v="25"/>
    <x v="292"/>
    <x v="0"/>
  </r>
  <r>
    <n v="2021"/>
    <x v="0"/>
    <s v="Central Line-Associated Bloodstream Infection (CLABSI)"/>
    <n v="50000280"/>
    <x v="333"/>
    <x v="40"/>
    <s v="Rehabilitation Hospital or Unit"/>
    <x v="2"/>
    <x v="2"/>
    <x v="21"/>
    <x v="1"/>
  </r>
  <r>
    <n v="2021"/>
    <x v="0"/>
    <s v="Central Line-Associated Bloodstream Infection (CLABSI)"/>
    <n v="50000030"/>
    <x v="334"/>
    <x v="40"/>
    <s v="Critical Access Hospital"/>
    <x v="8"/>
    <x v="2"/>
    <x v="63"/>
    <x v="1"/>
  </r>
  <r>
    <n v="2021"/>
    <x v="0"/>
    <s v="Central Line-Associated Bloodstream Infection (CLABSI)"/>
    <n v="70001351"/>
    <x v="335"/>
    <x v="41"/>
    <s v="Acute Care Hospital"/>
    <x v="6"/>
    <x v="9"/>
    <x v="293"/>
    <x v="2"/>
  </r>
  <r>
    <n v="2021"/>
    <x v="0"/>
    <s v="Central Line-Associated Bloodstream Infection (CLABSI)"/>
    <n v="70000136"/>
    <x v="336"/>
    <x v="41"/>
    <s v="Acute Care Hospital"/>
    <x v="3"/>
    <x v="9"/>
    <x v="294"/>
    <x v="0"/>
  </r>
  <r>
    <n v="2021"/>
    <x v="0"/>
    <s v="Central Line-Associated Bloodstream Infection (CLABSI)"/>
    <n v="70000136"/>
    <x v="336"/>
    <x v="41"/>
    <s v="Rehabilitation Hospital or Unit"/>
    <x v="2"/>
    <x v="2"/>
    <x v="69"/>
    <x v="1"/>
  </r>
  <r>
    <n v="2021"/>
    <x v="0"/>
    <s v="Central Line-Associated Bloodstream Infection (CLABSI)"/>
    <n v="70000153"/>
    <x v="337"/>
    <x v="41"/>
    <s v="Acute Care Hospital"/>
    <x v="6"/>
    <x v="5"/>
    <x v="295"/>
    <x v="0"/>
  </r>
  <r>
    <n v="2021"/>
    <x v="0"/>
    <s v="Central Line-Associated Bloodstream Infection (CLABSI)"/>
    <n v="70000150"/>
    <x v="338"/>
    <x v="41"/>
    <s v="Acute Care Hospital"/>
    <x v="3"/>
    <x v="8"/>
    <x v="287"/>
    <x v="0"/>
  </r>
  <r>
    <n v="2021"/>
    <x v="0"/>
    <s v="Central Line-Associated Bloodstream Infection (CLABSI)"/>
    <n v="70001355"/>
    <x v="339"/>
    <x v="41"/>
    <s v="Acute Care Hospital"/>
    <x v="6"/>
    <x v="31"/>
    <x v="296"/>
    <x v="0"/>
  </r>
  <r>
    <n v="2021"/>
    <x v="0"/>
    <s v="Central Line-Associated Bloodstream Infection (CLABSI)"/>
    <n v="70001349"/>
    <x v="340"/>
    <x v="41"/>
    <s v="Acute Care Hospital"/>
    <x v="5"/>
    <x v="12"/>
    <x v="297"/>
    <x v="2"/>
  </r>
  <r>
    <n v="2021"/>
    <x v="0"/>
    <s v="Central Line-Associated Bloodstream Infection (CLABSI)"/>
    <n v="70000154"/>
    <x v="341"/>
    <x v="41"/>
    <s v="Rehabilitation Hospital or Unit"/>
    <x v="2"/>
    <x v="2"/>
    <x v="42"/>
    <x v="1"/>
  </r>
  <r>
    <n v="2021"/>
    <x v="0"/>
    <s v="Central Line-Associated Bloodstream Infection (CLABSI)"/>
    <n v="70000146"/>
    <x v="342"/>
    <x v="41"/>
    <s v="Acute Care Hospital"/>
    <x v="1"/>
    <x v="24"/>
    <x v="298"/>
    <x v="0"/>
  </r>
  <r>
    <n v="2021"/>
    <x v="0"/>
    <s v="Central Line-Associated Bloodstream Infection (CLABSI)"/>
    <n v="70000133"/>
    <x v="343"/>
    <x v="41"/>
    <s v="Acute Care Hospital"/>
    <x v="6"/>
    <x v="5"/>
    <x v="299"/>
    <x v="0"/>
  </r>
  <r>
    <n v="2021"/>
    <x v="0"/>
    <s v="Central Line-Associated Bloodstream Infection (CLABSI)"/>
    <n v="70000149"/>
    <x v="344"/>
    <x v="41"/>
    <s v="Acute Care Hospital"/>
    <x v="1"/>
    <x v="42"/>
    <x v="300"/>
    <x v="0"/>
  </r>
  <r>
    <n v="2021"/>
    <x v="0"/>
    <s v="Central Line-Associated Bloodstream Infection (CLABSI)"/>
    <n v="70000149"/>
    <x v="344"/>
    <x v="41"/>
    <s v="Rehabilitation Hospital or Unit"/>
    <x v="2"/>
    <x v="0"/>
    <x v="301"/>
    <x v="0"/>
  </r>
  <r>
    <n v="2021"/>
    <x v="0"/>
    <s v="Central Line-Associated Bloodstream Infection (CLABSI)"/>
    <n v="70000635"/>
    <x v="345"/>
    <x v="41"/>
    <s v="Acute Care Hospital"/>
    <x v="0"/>
    <x v="8"/>
    <x v="302"/>
    <x v="0"/>
  </r>
  <r>
    <n v="2021"/>
    <x v="0"/>
    <s v="Central Line-Associated Bloodstream Infection (CLABSI)"/>
    <n v="70001357"/>
    <x v="346"/>
    <x v="41"/>
    <s v="Acute Care Hospital"/>
    <x v="1"/>
    <x v="43"/>
    <x v="303"/>
    <x v="0"/>
  </r>
  <r>
    <n v="2021"/>
    <x v="0"/>
    <s v="Central Line-Associated Bloodstream Infection (CLABSI)"/>
    <n v="70000139"/>
    <x v="347"/>
    <x v="42"/>
    <s v="Acute Care Hospital"/>
    <x v="3"/>
    <x v="9"/>
    <x v="287"/>
    <x v="2"/>
  </r>
  <r>
    <n v="2021"/>
    <x v="0"/>
    <s v="Central Line-Associated Bloodstream Infection (CLABSI)"/>
    <n v="70000139"/>
    <x v="347"/>
    <x v="42"/>
    <s v="Rehabilitation Hospital or Unit"/>
    <x v="2"/>
    <x v="9"/>
    <x v="304"/>
    <x v="0"/>
  </r>
  <r>
    <n v="2021"/>
    <x v="0"/>
    <s v="Central Line-Associated Bloodstream Infection (CLABSI)"/>
    <n v="70000959"/>
    <x v="348"/>
    <x v="42"/>
    <s v="Acute Care Hospital"/>
    <x v="0"/>
    <x v="2"/>
    <x v="245"/>
    <x v="1"/>
  </r>
  <r>
    <n v="2021"/>
    <x v="0"/>
    <s v="Central Line-Associated Bloodstream Infection (CLABSI)"/>
    <n v="70000155"/>
    <x v="349"/>
    <x v="42"/>
    <s v="Acute Care Hospital"/>
    <x v="0"/>
    <x v="8"/>
    <x v="45"/>
    <x v="0"/>
  </r>
  <r>
    <n v="2021"/>
    <x v="0"/>
    <s v="Central Line-Associated Bloodstream Infection (CLABSI)"/>
    <n v="230000009"/>
    <x v="350"/>
    <x v="43"/>
    <s v="Critical Access Hospital"/>
    <x v="8"/>
    <x v="2"/>
    <x v="63"/>
    <x v="1"/>
  </r>
  <r>
    <n v="2021"/>
    <x v="0"/>
    <s v="Central Line-Associated Bloodstream Infection (CLABSI)"/>
    <n v="230000010"/>
    <x v="351"/>
    <x v="43"/>
    <s v="Acute Care Hospital"/>
    <x v="6"/>
    <x v="10"/>
    <x v="305"/>
    <x v="0"/>
  </r>
  <r>
    <n v="2021"/>
    <x v="0"/>
    <s v="Central Line-Associated Bloodstream Infection (CLABSI)"/>
    <n v="230000444"/>
    <x v="352"/>
    <x v="43"/>
    <s v="Acute Care Hospital"/>
    <x v="0"/>
    <x v="2"/>
    <x v="38"/>
    <x v="1"/>
  </r>
  <r>
    <n v="2021"/>
    <x v="0"/>
    <s v="Central Line-Associated Bloodstream Infection (CLABSI)"/>
    <n v="230000016"/>
    <x v="353"/>
    <x v="43"/>
    <s v="Acute Care Hospital"/>
    <x v="3"/>
    <x v="4"/>
    <x v="306"/>
    <x v="0"/>
  </r>
  <r>
    <n v="2021"/>
    <x v="0"/>
    <s v="Central Line-Associated Bloodstream Infection (CLABSI)"/>
    <n v="230000422"/>
    <x v="354"/>
    <x v="43"/>
    <s v="Long-Term Acute Care Hospital"/>
    <x v="4"/>
    <x v="2"/>
    <x v="307"/>
    <x v="2"/>
  </r>
  <r>
    <n v="2021"/>
    <x v="0"/>
    <s v="Central Line-Associated Bloodstream Infection (CLABSI)"/>
    <n v="230000019"/>
    <x v="355"/>
    <x v="44"/>
    <s v="Critical Access Hospital"/>
    <x v="8"/>
    <x v="2"/>
    <x v="69"/>
    <x v="1"/>
  </r>
  <r>
    <n v="2021"/>
    <x v="0"/>
    <s v="Central Line-Associated Bloodstream Infection (CLABSI)"/>
    <n v="230000012"/>
    <x v="356"/>
    <x v="44"/>
    <s v="Critical Access Hospital"/>
    <x v="8"/>
    <x v="2"/>
    <x v="245"/>
    <x v="1"/>
  </r>
  <r>
    <n v="2021"/>
    <x v="0"/>
    <s v="Central Line-Associated Bloodstream Infection (CLABSI)"/>
    <n v="110000011"/>
    <x v="357"/>
    <x v="45"/>
    <s v="Acute Care Hospital"/>
    <x v="1"/>
    <x v="3"/>
    <x v="308"/>
    <x v="0"/>
  </r>
  <r>
    <n v="2021"/>
    <x v="0"/>
    <s v="Central Line-Associated Bloodstream Infection (CLABSI)"/>
    <n v="110000011"/>
    <x v="357"/>
    <x v="45"/>
    <s v="Rehabilitation Hospital or Unit"/>
    <x v="2"/>
    <x v="2"/>
    <x v="94"/>
    <x v="1"/>
  </r>
  <r>
    <n v="2021"/>
    <x v="0"/>
    <s v="Central Line-Associated Bloodstream Infection (CLABSI)"/>
    <n v="630012364"/>
    <x v="358"/>
    <x v="45"/>
    <s v="Acute Care Hospital"/>
    <x v="1"/>
    <x v="9"/>
    <x v="309"/>
    <x v="0"/>
  </r>
  <r>
    <n v="2021"/>
    <x v="0"/>
    <s v="Central Line-Associated Bloodstream Infection (CLABSI)"/>
    <n v="110000010"/>
    <x v="359"/>
    <x v="45"/>
    <s v="Acute Care Hospital"/>
    <x v="3"/>
    <x v="9"/>
    <x v="310"/>
    <x v="2"/>
  </r>
  <r>
    <n v="2021"/>
    <x v="0"/>
    <s v="Central Line-Associated Bloodstream Infection (CLABSI)"/>
    <n v="110000378"/>
    <x v="360"/>
    <x v="45"/>
    <s v="Acute Care Hospital"/>
    <x v="0"/>
    <x v="9"/>
    <x v="311"/>
    <x v="0"/>
  </r>
  <r>
    <n v="2021"/>
    <x v="0"/>
    <s v="Central Line-Associated Bloodstream Infection (CLABSI)"/>
    <n v="110000068"/>
    <x v="361"/>
    <x v="45"/>
    <s v="Acute Care Hospital"/>
    <x v="0"/>
    <x v="2"/>
    <x v="312"/>
    <x v="0"/>
  </r>
  <r>
    <n v="2021"/>
    <x v="0"/>
    <s v="Central Line-Associated Bloodstream Infection (CLABSI)"/>
    <n v="110000009"/>
    <x v="362"/>
    <x v="46"/>
    <s v="Critical Access Hospital"/>
    <x v="8"/>
    <x v="2"/>
    <x v="25"/>
    <x v="1"/>
  </r>
  <r>
    <n v="2021"/>
    <x v="0"/>
    <s v="Central Line-Associated Bloodstream Infection (CLABSI)"/>
    <n v="110000508"/>
    <x v="363"/>
    <x v="46"/>
    <s v="Acute Care Hospital"/>
    <x v="1"/>
    <x v="8"/>
    <x v="313"/>
    <x v="0"/>
  </r>
  <r>
    <n v="2021"/>
    <x v="0"/>
    <s v="Central Line-Associated Bloodstream Infection (CLABSI)"/>
    <n v="110000040"/>
    <x v="364"/>
    <x v="46"/>
    <s v="Acute Care Hospital"/>
    <x v="0"/>
    <x v="2"/>
    <x v="314"/>
    <x v="0"/>
  </r>
  <r>
    <n v="2021"/>
    <x v="0"/>
    <s v="Central Line-Associated Bloodstream Infection (CLABSI)"/>
    <n v="140001268"/>
    <x v="365"/>
    <x v="46"/>
    <s v="Acute Care Hospital"/>
    <x v="6"/>
    <x v="14"/>
    <x v="315"/>
    <x v="0"/>
  </r>
  <r>
    <n v="2021"/>
    <x v="0"/>
    <s v="Central Line-Associated Bloodstream Infection (CLABSI)"/>
    <n v="140001268"/>
    <x v="365"/>
    <x v="46"/>
    <s v="Rehabilitation Hospital or Unit"/>
    <x v="2"/>
    <x v="2"/>
    <x v="170"/>
    <x v="1"/>
  </r>
  <r>
    <n v="2021"/>
    <x v="0"/>
    <s v="Central Line-Associated Bloodstream Infection (CLABSI)"/>
    <n v="110000038"/>
    <x v="366"/>
    <x v="46"/>
    <s v="Acute Care Hospital"/>
    <x v="0"/>
    <x v="3"/>
    <x v="316"/>
    <x v="0"/>
  </r>
  <r>
    <n v="2021"/>
    <x v="0"/>
    <s v="Central Line-Associated Bloodstream Infection (CLABSI)"/>
    <n v="110000056"/>
    <x v="367"/>
    <x v="46"/>
    <s v="Acute Care Hospital"/>
    <x v="0"/>
    <x v="2"/>
    <x v="317"/>
    <x v="0"/>
  </r>
  <r>
    <n v="2021"/>
    <x v="0"/>
    <s v="Central Line-Associated Bloodstream Infection (CLABSI)"/>
    <n v="110000007"/>
    <x v="368"/>
    <x v="46"/>
    <s v="Acute Care Hospital"/>
    <x v="0"/>
    <x v="9"/>
    <x v="318"/>
    <x v="0"/>
  </r>
  <r>
    <n v="2021"/>
    <x v="0"/>
    <s v="Central Line-Associated Bloodstream Infection (CLABSI)"/>
    <n v="30000129"/>
    <x v="369"/>
    <x v="47"/>
    <s v="Long-Term Acute Care Hospital"/>
    <x v="4"/>
    <x v="8"/>
    <x v="319"/>
    <x v="0"/>
  </r>
  <r>
    <n v="2021"/>
    <x v="0"/>
    <s v="Central Line-Associated Bloodstream Infection (CLABSI)"/>
    <n v="30000122"/>
    <x v="370"/>
    <x v="47"/>
    <s v="Acute Care Hospital"/>
    <x v="1"/>
    <x v="4"/>
    <x v="320"/>
    <x v="2"/>
  </r>
  <r>
    <n v="2021"/>
    <x v="0"/>
    <s v="Central Line-Associated Bloodstream Infection (CLABSI)"/>
    <n v="30000125"/>
    <x v="371"/>
    <x v="47"/>
    <s v="Acute Care Hospital"/>
    <x v="3"/>
    <x v="1"/>
    <x v="321"/>
    <x v="3"/>
  </r>
  <r>
    <n v="2021"/>
    <x v="0"/>
    <s v="Central Line-Associated Bloodstream Infection (CLABSI)"/>
    <n v="630016419"/>
    <x v="372"/>
    <x v="47"/>
    <s v="Rehabilitation Hospital or Unit"/>
    <x v="7"/>
    <x v="2"/>
    <x v="317"/>
    <x v="0"/>
  </r>
  <r>
    <n v="2021"/>
    <x v="0"/>
    <s v="Central Line-Associated Bloodstream Infection (CLABSI)"/>
    <n v="630011683"/>
    <x v="373"/>
    <x v="47"/>
    <s v="Acute Care Hospital"/>
    <x v="3"/>
    <x v="14"/>
    <x v="322"/>
    <x v="0"/>
  </r>
  <r>
    <n v="2021"/>
    <x v="0"/>
    <s v="Central Line-Associated Bloodstream Infection (CLABSI)"/>
    <n v="30000123"/>
    <x v="374"/>
    <x v="47"/>
    <s v="Acute Care Hospital"/>
    <x v="6"/>
    <x v="19"/>
    <x v="323"/>
    <x v="0"/>
  </r>
  <r>
    <n v="2021"/>
    <x v="0"/>
    <s v="Central Line-Associated Bloodstream Infection (CLABSI)"/>
    <n v="30000131"/>
    <x v="375"/>
    <x v="47"/>
    <s v="Acute Care Hospital"/>
    <x v="0"/>
    <x v="2"/>
    <x v="176"/>
    <x v="0"/>
  </r>
  <r>
    <n v="2021"/>
    <x v="0"/>
    <s v="Central Line-Associated Bloodstream Infection (CLABSI)"/>
    <n v="30001661"/>
    <x v="376"/>
    <x v="47"/>
    <s v="Acute Care Hospital"/>
    <x v="0"/>
    <x v="2"/>
    <x v="63"/>
    <x v="1"/>
  </r>
  <r>
    <n v="2021"/>
    <x v="0"/>
    <s v="Central Line-Associated Bloodstream Infection (CLABSI)"/>
    <n v="630011844"/>
    <x v="377"/>
    <x v="48"/>
    <s v="Acute Care Hospital"/>
    <x v="0"/>
    <x v="2"/>
    <x v="63"/>
    <x v="1"/>
  </r>
  <r>
    <n v="2021"/>
    <x v="0"/>
    <s v="Central Line-Associated Bloodstream Infection (CLABSI)"/>
    <n v="230000020"/>
    <x v="378"/>
    <x v="49"/>
    <s v="Acute Care Hospital"/>
    <x v="1"/>
    <x v="0"/>
    <x v="324"/>
    <x v="0"/>
  </r>
  <r>
    <n v="2021"/>
    <x v="0"/>
    <s v="Central Line-Associated Bloodstream Infection (CLABSI)"/>
    <n v="230000022"/>
    <x v="379"/>
    <x v="50"/>
    <s v="Critical Access Hospital"/>
    <x v="8"/>
    <x v="2"/>
    <x v="69"/>
    <x v="1"/>
  </r>
  <r>
    <n v="2021"/>
    <x v="0"/>
    <s v="Central Line-Associated Bloodstream Infection (CLABSI)"/>
    <n v="120001467"/>
    <x v="380"/>
    <x v="51"/>
    <s v="Acute Care Hospital"/>
    <x v="0"/>
    <x v="2"/>
    <x v="325"/>
    <x v="0"/>
  </r>
  <r>
    <n v="2021"/>
    <x v="0"/>
    <s v="Central Line-Associated Bloodstream Infection (CLABSI)"/>
    <n v="120001444"/>
    <x v="381"/>
    <x v="51"/>
    <s v="Acute Care Hospital"/>
    <x v="1"/>
    <x v="31"/>
    <x v="326"/>
    <x v="0"/>
  </r>
  <r>
    <n v="2021"/>
    <x v="0"/>
    <s v="Central Line-Associated Bloodstream Infection (CLABSI)"/>
    <n v="120001444"/>
    <x v="382"/>
    <x v="51"/>
    <s v="Rehabilitation Hospital or Unit"/>
    <x v="2"/>
    <x v="18"/>
    <x v="54"/>
    <x v="1"/>
  </r>
  <r>
    <n v="2021"/>
    <x v="0"/>
    <s v="Central Line-Associated Bloodstream Infection (CLABSI)"/>
    <n v="170001874"/>
    <x v="383"/>
    <x v="51"/>
    <s v="Acute Care Hospital"/>
    <x v="0"/>
    <x v="2"/>
    <x v="38"/>
    <x v="1"/>
  </r>
  <r>
    <n v="2021"/>
    <x v="0"/>
    <s v="Central Line-Associated Bloodstream Infection (CLABSI)"/>
    <n v="120001464"/>
    <x v="384"/>
    <x v="51"/>
    <s v="Acute Care Hospital"/>
    <x v="3"/>
    <x v="4"/>
    <x v="327"/>
    <x v="0"/>
  </r>
  <r>
    <n v="2021"/>
    <x v="0"/>
    <s v="Central Line-Associated Bloodstream Infection (CLABSI)"/>
    <n v="30001799"/>
    <x v="385"/>
    <x v="52"/>
    <s v="Acute Care Hospital"/>
    <x v="0"/>
    <x v="3"/>
    <x v="149"/>
    <x v="3"/>
  </r>
  <r>
    <n v="2021"/>
    <x v="0"/>
    <s v="Central Line-Associated Bloodstream Infection (CLABSI)"/>
    <n v="50000455"/>
    <x v="386"/>
    <x v="53"/>
    <s v="Acute Care Hospital"/>
    <x v="3"/>
    <x v="0"/>
    <x v="328"/>
    <x v="0"/>
  </r>
  <r>
    <n v="2021"/>
    <x v="0"/>
    <s v="Central Line-Associated Bloodstream Infection (CLABSI)"/>
    <n v="50000014"/>
    <x v="387"/>
    <x v="53"/>
    <s v="Acute Care Hospital"/>
    <x v="1"/>
    <x v="24"/>
    <x v="329"/>
    <x v="0"/>
  </r>
  <r>
    <n v="2021"/>
    <x v="0"/>
    <s v="Central Line-Associated Bloodstream Infection (CLABSI)"/>
    <n v="50000020"/>
    <x v="388"/>
    <x v="53"/>
    <s v="Acute Care Hospital"/>
    <x v="6"/>
    <x v="4"/>
    <x v="330"/>
    <x v="0"/>
  </r>
  <r>
    <n v="2021"/>
    <x v="0"/>
    <s v="Central Line-Associated Bloodstream Infection (CLABSI)"/>
    <n v="50000553"/>
    <x v="389"/>
    <x v="53"/>
    <s v="Rehabilitation Hospital or Unit"/>
    <x v="7"/>
    <x v="2"/>
    <x v="2"/>
    <x v="0"/>
  </r>
  <r>
    <n v="2021"/>
    <x v="0"/>
    <s v="Central Line-Associated Bloodstream Infection (CLABSI)"/>
    <n v="50000023"/>
    <x v="390"/>
    <x v="53"/>
    <s v="Critical Access Hospital"/>
    <x v="8"/>
    <x v="2"/>
    <x v="38"/>
    <x v="1"/>
  </r>
  <r>
    <n v="2021"/>
    <x v="0"/>
    <s v="Central Line-Associated Bloodstream Infection (CLABSI)"/>
    <n v="50000026"/>
    <x v="391"/>
    <x v="53"/>
    <s v="Acute Care Hospital"/>
    <x v="0"/>
    <x v="3"/>
    <x v="71"/>
    <x v="0"/>
  </r>
  <r>
    <n v="2021"/>
    <x v="0"/>
    <s v="Central Line-Associated Bloodstream Infection (CLABSI)"/>
    <n v="50000035"/>
    <x v="392"/>
    <x v="53"/>
    <s v="Acute Care Hospital"/>
    <x v="6"/>
    <x v="4"/>
    <x v="331"/>
    <x v="0"/>
  </r>
  <r>
    <n v="2021"/>
    <x v="0"/>
    <s v="Central Line-Associated Bloodstream Infection (CLABSI)"/>
    <n v="50000035"/>
    <x v="392"/>
    <x v="53"/>
    <s v="Rehabilitation Hospital or Unit"/>
    <x v="2"/>
    <x v="2"/>
    <x v="11"/>
    <x v="1"/>
  </r>
  <r>
    <n v="2021"/>
    <x v="0"/>
    <s v="Central Line-Associated Bloodstream Infection (CLABSI)"/>
    <n v="50001468"/>
    <x v="393"/>
    <x v="53"/>
    <s v="Acute Care Hospital"/>
    <x v="0"/>
    <x v="2"/>
    <x v="63"/>
    <x v="1"/>
  </r>
  <r>
    <n v="2021"/>
    <x v="0"/>
    <s v="Central Line-Associated Bloodstream Infection (CLABSI)"/>
    <n v="50000039"/>
    <x v="394"/>
    <x v="53"/>
    <s v="Acute Care Hospital"/>
    <x v="1"/>
    <x v="4"/>
    <x v="332"/>
    <x v="0"/>
  </r>
  <r>
    <n v="2021"/>
    <x v="0"/>
    <s v="Central Line-Associated Bloodstream Infection (CLABSI)"/>
    <n v="630010957"/>
    <x v="395"/>
    <x v="53"/>
    <s v="Acute Care Hospital"/>
    <x v="1"/>
    <x v="2"/>
    <x v="264"/>
    <x v="0"/>
  </r>
  <r>
    <n v="2021"/>
    <x v="0"/>
    <s v="Central Line-Associated Bloodstream Infection (CLABSI)"/>
    <n v="30000149"/>
    <x v="396"/>
    <x v="54"/>
    <s v="Acute Care Hospital"/>
    <x v="0"/>
    <x v="9"/>
    <x v="61"/>
    <x v="0"/>
  </r>
  <r>
    <n v="2021"/>
    <x v="0"/>
    <s v="Central Line-Associated Bloodstream Infection (CLABSI)"/>
    <n v="30000146"/>
    <x v="397"/>
    <x v="54"/>
    <s v="Acute Care Hospital"/>
    <x v="0"/>
    <x v="3"/>
    <x v="333"/>
    <x v="0"/>
  </r>
  <r>
    <n v="2021"/>
    <x v="0"/>
    <s v="Central Line-Associated Bloodstream Infection (CLABSI)"/>
    <n v="230000261"/>
    <x v="398"/>
    <x v="55"/>
    <s v="Acute Care Hospital"/>
    <x v="3"/>
    <x v="4"/>
    <x v="334"/>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EA3A8D-BB33-44E5-9145-8B9042B1B4E2}"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Facility_Name">
  <location ref="A3:B403" firstHeaderRow="1" firstDataRow="1" firstDataCol="1"/>
  <pivotFields count="11">
    <pivotField showAll="0"/>
    <pivotField showAll="0"/>
    <pivotField showAll="0"/>
    <pivotField showAll="0"/>
    <pivotField axis="axisRow" showAll="0" sortType="ascending">
      <items count="400">
        <item x="398"/>
        <item x="52"/>
        <item x="65"/>
        <item x="53"/>
        <item x="68"/>
        <item x="64"/>
        <item x="167"/>
        <item x="313"/>
        <item x="168"/>
        <item x="32"/>
        <item x="33"/>
        <item x="386"/>
        <item x="385"/>
        <item x="179"/>
        <item x="54"/>
        <item x="380"/>
        <item x="169"/>
        <item x="69"/>
        <item x="183"/>
        <item x="324"/>
        <item x="0"/>
        <item x="70"/>
        <item x="1"/>
        <item x="2"/>
        <item x="278"/>
        <item x="184"/>
        <item x="71"/>
        <item x="253"/>
        <item x="55"/>
        <item x="56"/>
        <item x="254"/>
        <item x="67"/>
        <item x="72"/>
        <item x="255"/>
        <item x="30"/>
        <item x="256"/>
        <item x="73"/>
        <item x="74"/>
        <item x="300"/>
        <item x="301"/>
        <item x="302"/>
        <item x="75"/>
        <item x="76"/>
        <item x="77"/>
        <item x="78"/>
        <item x="79"/>
        <item x="80"/>
        <item x="81"/>
        <item x="369"/>
        <item x="185"/>
        <item x="186"/>
        <item x="82"/>
        <item x="187"/>
        <item x="303"/>
        <item x="257"/>
        <item x="83"/>
        <item x="34"/>
        <item x="35"/>
        <item x="84"/>
        <item x="188"/>
        <item x="85"/>
        <item x="258"/>
        <item x="20"/>
        <item x="86"/>
        <item x="259"/>
        <item x="175"/>
        <item x="387"/>
        <item x="36"/>
        <item x="21"/>
        <item x="222"/>
        <item x="314"/>
        <item x="223"/>
        <item x="260"/>
        <item x="87"/>
        <item x="315"/>
        <item x="224"/>
        <item x="370"/>
        <item x="347"/>
        <item x="88"/>
        <item x="219"/>
        <item x="3"/>
        <item x="225"/>
        <item x="335"/>
        <item x="336"/>
        <item x="48"/>
        <item x="89"/>
        <item x="90"/>
        <item x="91"/>
        <item x="371"/>
        <item x="92"/>
        <item x="57"/>
        <item x="372"/>
        <item x="226"/>
        <item x="189"/>
        <item x="15"/>
        <item x="16"/>
        <item x="355"/>
        <item x="190"/>
        <item x="191"/>
        <item x="320"/>
        <item x="37"/>
        <item x="38"/>
        <item x="192"/>
        <item x="93"/>
        <item x="176"/>
        <item x="94"/>
        <item x="42"/>
        <item x="330"/>
        <item x="58"/>
        <item x="95"/>
        <item x="337"/>
        <item x="96"/>
        <item x="279"/>
        <item x="252"/>
        <item x="362"/>
        <item x="193"/>
        <item x="227"/>
        <item x="97"/>
        <item x="261"/>
        <item x="4"/>
        <item x="194"/>
        <item x="195"/>
        <item x="196"/>
        <item x="98"/>
        <item x="197"/>
        <item x="99"/>
        <item x="43"/>
        <item x="166"/>
        <item x="228"/>
        <item x="22"/>
        <item x="23"/>
        <item x="357"/>
        <item x="24"/>
        <item x="100"/>
        <item x="101"/>
        <item x="262"/>
        <item x="5"/>
        <item x="39"/>
        <item x="102"/>
        <item x="316"/>
        <item x="373"/>
        <item x="229"/>
        <item x="6"/>
        <item x="263"/>
        <item x="198"/>
        <item x="199"/>
        <item x="103"/>
        <item x="325"/>
        <item x="25"/>
        <item x="230"/>
        <item x="216"/>
        <item x="242"/>
        <item x="280"/>
        <item x="304"/>
        <item x="338"/>
        <item x="7"/>
        <item x="162"/>
        <item x="339"/>
        <item x="363"/>
        <item x="104"/>
        <item x="243"/>
        <item x="326"/>
        <item x="358"/>
        <item x="26"/>
        <item x="105"/>
        <item x="106"/>
        <item x="281"/>
        <item x="381"/>
        <item x="382"/>
        <item x="107"/>
        <item x="163"/>
        <item x="305"/>
        <item x="59"/>
        <item x="60"/>
        <item x="108"/>
        <item x="109"/>
        <item x="200"/>
        <item x="110"/>
        <item x="111"/>
        <item x="264"/>
        <item x="265"/>
        <item x="231"/>
        <item x="282"/>
        <item x="8"/>
        <item x="112"/>
        <item x="201"/>
        <item x="113"/>
        <item x="202"/>
        <item x="114"/>
        <item x="203"/>
        <item x="116"/>
        <item x="117"/>
        <item x="118"/>
        <item x="115"/>
        <item x="306"/>
        <item x="119"/>
        <item x="266"/>
        <item x="267"/>
        <item x="268"/>
        <item x="232"/>
        <item x="269"/>
        <item x="331"/>
        <item x="204"/>
        <item x="120"/>
        <item x="388"/>
        <item x="389"/>
        <item x="340"/>
        <item x="44"/>
        <item x="160"/>
        <item x="174"/>
        <item x="332"/>
        <item x="321"/>
        <item x="164"/>
        <item x="19"/>
        <item x="31"/>
        <item x="121"/>
        <item x="350"/>
        <item x="170"/>
        <item x="122"/>
        <item x="374"/>
        <item x="123"/>
        <item x="124"/>
        <item x="205"/>
        <item x="206"/>
        <item x="233"/>
        <item x="244"/>
        <item x="61"/>
        <item x="245"/>
        <item x="171"/>
        <item x="356"/>
        <item x="351"/>
        <item x="246"/>
        <item x="62"/>
        <item x="247"/>
        <item x="125"/>
        <item x="327"/>
        <item x="126"/>
        <item x="341"/>
        <item x="172"/>
        <item x="127"/>
        <item x="270"/>
        <item x="128"/>
        <item x="271"/>
        <item x="177"/>
        <item x="359"/>
        <item x="360"/>
        <item x="50"/>
        <item x="129"/>
        <item x="130"/>
        <item x="165"/>
        <item x="375"/>
        <item x="342"/>
        <item x="390"/>
        <item x="131"/>
        <item x="207"/>
        <item x="17"/>
        <item x="18"/>
        <item x="134"/>
        <item x="135"/>
        <item x="136"/>
        <item x="234"/>
        <item x="283"/>
        <item x="284"/>
        <item x="285"/>
        <item x="352"/>
        <item x="364"/>
        <item x="132"/>
        <item x="133"/>
        <item x="49"/>
        <item x="208"/>
        <item x="220"/>
        <item x="137"/>
        <item x="383"/>
        <item x="138"/>
        <item x="139"/>
        <item x="140"/>
        <item x="141"/>
        <item x="209"/>
        <item x="210"/>
        <item x="180"/>
        <item x="45"/>
        <item x="142"/>
        <item x="143"/>
        <item x="365"/>
        <item x="46"/>
        <item x="211"/>
        <item x="212"/>
        <item x="272"/>
        <item x="286"/>
        <item x="273"/>
        <item x="343"/>
        <item x="63"/>
        <item x="235"/>
        <item x="236"/>
        <item x="144"/>
        <item x="40"/>
        <item x="307"/>
        <item x="178"/>
        <item x="274"/>
        <item x="145"/>
        <item x="146"/>
        <item x="237"/>
        <item x="317"/>
        <item x="41"/>
        <item x="9"/>
        <item x="328"/>
        <item x="27"/>
        <item x="333"/>
        <item x="344"/>
        <item x="147"/>
        <item x="334"/>
        <item x="287"/>
        <item x="288"/>
        <item x="289"/>
        <item x="290"/>
        <item x="291"/>
        <item x="292"/>
        <item x="221"/>
        <item x="329"/>
        <item x="293"/>
        <item x="294"/>
        <item x="295"/>
        <item x="296"/>
        <item x="353"/>
        <item x="148"/>
        <item x="248"/>
        <item x="181"/>
        <item x="384"/>
        <item x="366"/>
        <item x="367"/>
        <item x="213"/>
        <item x="149"/>
        <item x="150"/>
        <item x="51"/>
        <item x="238"/>
        <item x="239"/>
        <item x="391"/>
        <item x="392"/>
        <item x="10"/>
        <item x="275"/>
        <item x="378"/>
        <item x="151"/>
        <item x="318"/>
        <item x="345"/>
        <item x="152"/>
        <item x="308"/>
        <item x="346"/>
        <item x="11"/>
        <item x="376"/>
        <item x="173"/>
        <item x="14"/>
        <item x="217"/>
        <item x="29"/>
        <item x="396"/>
        <item x="28"/>
        <item x="66"/>
        <item x="348"/>
        <item x="249"/>
        <item x="218"/>
        <item x="368"/>
        <item x="361"/>
        <item x="377"/>
        <item x="319"/>
        <item x="182"/>
        <item x="240"/>
        <item x="322"/>
        <item x="323"/>
        <item x="47"/>
        <item x="393"/>
        <item x="153"/>
        <item x="276"/>
        <item x="297"/>
        <item x="379"/>
        <item x="298"/>
        <item x="299"/>
        <item x="12"/>
        <item x="309"/>
        <item x="310"/>
        <item x="311"/>
        <item x="250"/>
        <item x="214"/>
        <item x="154"/>
        <item x="155"/>
        <item x="161"/>
        <item x="156"/>
        <item x="394"/>
        <item x="395"/>
        <item x="354"/>
        <item x="251"/>
        <item x="241"/>
        <item x="277"/>
        <item x="13"/>
        <item x="349"/>
        <item x="215"/>
        <item x="157"/>
        <item x="158"/>
        <item x="159"/>
        <item x="397"/>
        <item x="312"/>
        <item t="default"/>
      </items>
    </pivotField>
    <pivotField showAll="0"/>
    <pivotField showAll="0"/>
    <pivotField showAll="0"/>
    <pivotField dataField="1" showAll="0"/>
    <pivotField showAll="0"/>
    <pivotField showAll="0"/>
  </pivotFields>
  <rowFields count="1">
    <field x="4"/>
  </rowFields>
  <rowItems count="4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t="grand">
      <x/>
    </i>
  </rowItems>
  <colItems count="1">
    <i/>
  </colItems>
  <dataFields count="1">
    <dataField name="Sum of Infections_Reported" fld="8" baseField="0" baseItem="0"/>
  </dataField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737EF23-4B07-419E-9EA7-B45A9FA4519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459" firstHeaderRow="0" firstDataRow="1" firstDataCol="1"/>
  <pivotFields count="11">
    <pivotField showAll="0"/>
    <pivotField showAll="0">
      <items count="2">
        <item x="0"/>
        <item t="default"/>
      </items>
    </pivotField>
    <pivotField showAll="0"/>
    <pivotField showAll="0"/>
    <pivotField axis="axisRow" showAll="0">
      <items count="400">
        <item x="398"/>
        <item x="52"/>
        <item x="65"/>
        <item x="53"/>
        <item x="68"/>
        <item x="64"/>
        <item x="167"/>
        <item x="313"/>
        <item x="168"/>
        <item x="32"/>
        <item x="33"/>
        <item x="386"/>
        <item x="385"/>
        <item x="179"/>
        <item x="54"/>
        <item x="380"/>
        <item x="169"/>
        <item x="69"/>
        <item x="183"/>
        <item x="324"/>
        <item x="0"/>
        <item x="70"/>
        <item x="1"/>
        <item x="2"/>
        <item x="278"/>
        <item x="184"/>
        <item x="71"/>
        <item x="253"/>
        <item x="55"/>
        <item x="56"/>
        <item x="254"/>
        <item x="67"/>
        <item x="72"/>
        <item x="255"/>
        <item x="30"/>
        <item x="256"/>
        <item x="73"/>
        <item x="74"/>
        <item x="300"/>
        <item x="301"/>
        <item x="302"/>
        <item x="75"/>
        <item x="76"/>
        <item x="77"/>
        <item x="78"/>
        <item x="79"/>
        <item x="80"/>
        <item x="81"/>
        <item x="369"/>
        <item x="185"/>
        <item x="186"/>
        <item x="82"/>
        <item x="187"/>
        <item x="303"/>
        <item x="257"/>
        <item x="83"/>
        <item x="34"/>
        <item x="35"/>
        <item x="84"/>
        <item x="188"/>
        <item x="85"/>
        <item x="258"/>
        <item x="20"/>
        <item x="86"/>
        <item x="259"/>
        <item x="175"/>
        <item x="387"/>
        <item x="36"/>
        <item x="21"/>
        <item x="222"/>
        <item x="314"/>
        <item x="223"/>
        <item x="260"/>
        <item x="87"/>
        <item x="315"/>
        <item x="224"/>
        <item x="370"/>
        <item x="347"/>
        <item x="88"/>
        <item x="219"/>
        <item x="3"/>
        <item x="225"/>
        <item x="335"/>
        <item x="336"/>
        <item x="48"/>
        <item x="89"/>
        <item x="90"/>
        <item x="91"/>
        <item x="371"/>
        <item x="92"/>
        <item x="57"/>
        <item x="372"/>
        <item x="226"/>
        <item x="189"/>
        <item x="15"/>
        <item x="16"/>
        <item x="355"/>
        <item x="190"/>
        <item x="191"/>
        <item x="320"/>
        <item x="37"/>
        <item x="38"/>
        <item x="192"/>
        <item x="93"/>
        <item x="176"/>
        <item x="94"/>
        <item x="42"/>
        <item x="330"/>
        <item x="58"/>
        <item x="95"/>
        <item x="337"/>
        <item x="96"/>
        <item x="279"/>
        <item x="252"/>
        <item x="362"/>
        <item x="193"/>
        <item x="227"/>
        <item x="97"/>
        <item x="261"/>
        <item x="4"/>
        <item x="194"/>
        <item x="195"/>
        <item x="196"/>
        <item x="98"/>
        <item x="197"/>
        <item x="99"/>
        <item x="43"/>
        <item x="166"/>
        <item x="228"/>
        <item x="22"/>
        <item x="23"/>
        <item x="357"/>
        <item x="24"/>
        <item x="100"/>
        <item x="101"/>
        <item x="262"/>
        <item x="5"/>
        <item x="39"/>
        <item x="102"/>
        <item x="316"/>
        <item x="373"/>
        <item x="229"/>
        <item x="6"/>
        <item x="263"/>
        <item x="198"/>
        <item x="199"/>
        <item x="103"/>
        <item x="325"/>
        <item x="25"/>
        <item x="230"/>
        <item x="216"/>
        <item x="242"/>
        <item x="280"/>
        <item x="304"/>
        <item x="338"/>
        <item x="7"/>
        <item x="162"/>
        <item x="339"/>
        <item x="363"/>
        <item x="104"/>
        <item x="243"/>
        <item x="326"/>
        <item x="358"/>
        <item x="26"/>
        <item x="105"/>
        <item x="106"/>
        <item x="281"/>
        <item x="381"/>
        <item x="382"/>
        <item x="107"/>
        <item x="163"/>
        <item x="305"/>
        <item x="59"/>
        <item x="60"/>
        <item x="108"/>
        <item x="109"/>
        <item x="200"/>
        <item x="110"/>
        <item x="111"/>
        <item x="264"/>
        <item x="265"/>
        <item x="231"/>
        <item x="282"/>
        <item x="8"/>
        <item x="112"/>
        <item x="201"/>
        <item x="113"/>
        <item x="202"/>
        <item x="114"/>
        <item x="203"/>
        <item x="116"/>
        <item x="117"/>
        <item x="118"/>
        <item x="115"/>
        <item x="306"/>
        <item x="119"/>
        <item x="266"/>
        <item x="267"/>
        <item x="268"/>
        <item x="232"/>
        <item x="269"/>
        <item x="331"/>
        <item x="204"/>
        <item x="120"/>
        <item x="388"/>
        <item x="389"/>
        <item x="340"/>
        <item x="44"/>
        <item x="160"/>
        <item x="174"/>
        <item x="332"/>
        <item x="321"/>
        <item x="164"/>
        <item x="19"/>
        <item x="31"/>
        <item x="121"/>
        <item x="350"/>
        <item x="170"/>
        <item x="122"/>
        <item x="374"/>
        <item x="123"/>
        <item x="124"/>
        <item x="205"/>
        <item x="206"/>
        <item x="233"/>
        <item x="244"/>
        <item x="61"/>
        <item x="245"/>
        <item x="171"/>
        <item x="356"/>
        <item x="351"/>
        <item x="246"/>
        <item x="62"/>
        <item x="247"/>
        <item x="125"/>
        <item x="327"/>
        <item x="126"/>
        <item x="341"/>
        <item x="172"/>
        <item x="127"/>
        <item x="270"/>
        <item x="128"/>
        <item x="271"/>
        <item x="177"/>
        <item x="359"/>
        <item x="360"/>
        <item x="50"/>
        <item x="129"/>
        <item x="130"/>
        <item x="165"/>
        <item x="375"/>
        <item x="342"/>
        <item x="390"/>
        <item x="131"/>
        <item x="207"/>
        <item x="17"/>
        <item x="18"/>
        <item x="134"/>
        <item x="135"/>
        <item x="136"/>
        <item x="234"/>
        <item x="283"/>
        <item x="284"/>
        <item x="285"/>
        <item x="352"/>
        <item x="364"/>
        <item x="132"/>
        <item x="133"/>
        <item x="49"/>
        <item x="208"/>
        <item x="220"/>
        <item x="137"/>
        <item x="383"/>
        <item x="138"/>
        <item x="139"/>
        <item x="140"/>
        <item x="141"/>
        <item x="209"/>
        <item x="210"/>
        <item x="180"/>
        <item x="45"/>
        <item x="142"/>
        <item x="143"/>
        <item x="365"/>
        <item x="46"/>
        <item x="211"/>
        <item x="212"/>
        <item x="272"/>
        <item x="286"/>
        <item x="273"/>
        <item x="343"/>
        <item x="63"/>
        <item x="235"/>
        <item x="236"/>
        <item x="144"/>
        <item x="40"/>
        <item x="307"/>
        <item x="178"/>
        <item x="274"/>
        <item x="145"/>
        <item x="146"/>
        <item x="237"/>
        <item x="317"/>
        <item x="41"/>
        <item x="9"/>
        <item x="328"/>
        <item x="27"/>
        <item x="333"/>
        <item x="344"/>
        <item x="147"/>
        <item x="334"/>
        <item x="287"/>
        <item x="288"/>
        <item x="289"/>
        <item x="290"/>
        <item x="291"/>
        <item x="292"/>
        <item x="221"/>
        <item x="329"/>
        <item x="293"/>
        <item x="294"/>
        <item x="295"/>
        <item x="296"/>
        <item x="353"/>
        <item x="148"/>
        <item x="248"/>
        <item x="181"/>
        <item x="384"/>
        <item x="366"/>
        <item x="367"/>
        <item x="213"/>
        <item x="149"/>
        <item x="150"/>
        <item x="51"/>
        <item x="238"/>
        <item x="239"/>
        <item x="391"/>
        <item x="392"/>
        <item x="10"/>
        <item x="275"/>
        <item x="378"/>
        <item x="151"/>
        <item x="318"/>
        <item x="345"/>
        <item x="152"/>
        <item x="308"/>
        <item x="346"/>
        <item x="11"/>
        <item x="376"/>
        <item x="173"/>
        <item x="14"/>
        <item x="217"/>
        <item x="29"/>
        <item x="396"/>
        <item x="28"/>
        <item x="66"/>
        <item x="348"/>
        <item x="249"/>
        <item x="218"/>
        <item x="368"/>
        <item x="361"/>
        <item x="377"/>
        <item x="319"/>
        <item x="182"/>
        <item x="240"/>
        <item x="322"/>
        <item x="323"/>
        <item x="47"/>
        <item x="393"/>
        <item x="153"/>
        <item x="276"/>
        <item x="297"/>
        <item x="379"/>
        <item x="298"/>
        <item x="299"/>
        <item x="12"/>
        <item x="309"/>
        <item x="310"/>
        <item x="311"/>
        <item x="250"/>
        <item x="214"/>
        <item x="154"/>
        <item x="155"/>
        <item x="161"/>
        <item x="156"/>
        <item x="394"/>
        <item x="395"/>
        <item x="354"/>
        <item x="251"/>
        <item x="241"/>
        <item x="277"/>
        <item x="13"/>
        <item x="349"/>
        <item x="215"/>
        <item x="157"/>
        <item x="158"/>
        <item x="159"/>
        <item x="397"/>
        <item x="312"/>
        <item t="default"/>
      </items>
    </pivotField>
    <pivotField axis="axisRow" showAll="0">
      <items count="5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t="default"/>
      </items>
    </pivotField>
    <pivotField showAll="0"/>
    <pivotField showAll="0">
      <items count="10">
        <item x="0"/>
        <item x="6"/>
        <item x="3"/>
        <item x="8"/>
        <item x="7"/>
        <item x="4"/>
        <item x="1"/>
        <item x="5"/>
        <item x="2"/>
        <item t="default"/>
      </items>
    </pivotField>
    <pivotField dataField="1" showAll="0">
      <items count="45">
        <item x="2"/>
        <item x="9"/>
        <item x="0"/>
        <item x="8"/>
        <item x="3"/>
        <item x="4"/>
        <item x="7"/>
        <item x="1"/>
        <item x="5"/>
        <item x="14"/>
        <item x="17"/>
        <item x="10"/>
        <item x="19"/>
        <item x="24"/>
        <item x="26"/>
        <item x="25"/>
        <item x="11"/>
        <item x="31"/>
        <item x="30"/>
        <item x="20"/>
        <item x="12"/>
        <item x="36"/>
        <item x="6"/>
        <item x="38"/>
        <item x="29"/>
        <item x="15"/>
        <item x="39"/>
        <item x="32"/>
        <item x="16"/>
        <item x="42"/>
        <item x="34"/>
        <item x="28"/>
        <item x="27"/>
        <item x="22"/>
        <item x="35"/>
        <item x="41"/>
        <item x="40"/>
        <item x="37"/>
        <item x="23"/>
        <item x="33"/>
        <item x="21"/>
        <item x="13"/>
        <item x="43"/>
        <item x="18"/>
        <item t="default"/>
      </items>
    </pivotField>
    <pivotField dataField="1" showAll="0">
      <items count="336">
        <item x="38"/>
        <item x="63"/>
        <item x="32"/>
        <item x="53"/>
        <item x="245"/>
        <item x="50"/>
        <item x="42"/>
        <item x="170"/>
        <item x="19"/>
        <item x="136"/>
        <item x="69"/>
        <item x="48"/>
        <item x="25"/>
        <item x="91"/>
        <item x="46"/>
        <item x="11"/>
        <item x="148"/>
        <item x="94"/>
        <item x="21"/>
        <item x="89"/>
        <item x="270"/>
        <item x="33"/>
        <item x="176"/>
        <item x="57"/>
        <item x="138"/>
        <item x="225"/>
        <item x="66"/>
        <item x="124"/>
        <item x="18"/>
        <item x="317"/>
        <item x="201"/>
        <item x="264"/>
        <item x="301"/>
        <item x="2"/>
        <item x="266"/>
        <item x="192"/>
        <item x="40"/>
        <item x="35"/>
        <item x="131"/>
        <item x="47"/>
        <item x="129"/>
        <item x="162"/>
        <item x="61"/>
        <item x="304"/>
        <item x="230"/>
        <item x="290"/>
        <item x="31"/>
        <item x="118"/>
        <item x="76"/>
        <item x="128"/>
        <item x="325"/>
        <item x="238"/>
        <item x="164"/>
        <item x="283"/>
        <item x="90"/>
        <item x="20"/>
        <item x="36"/>
        <item x="314"/>
        <item x="174"/>
        <item x="177"/>
        <item x="149"/>
        <item x="195"/>
        <item x="85"/>
        <item x="226"/>
        <item x="288"/>
        <item x="16"/>
        <item x="10"/>
        <item x="279"/>
        <item x="45"/>
        <item x="132"/>
        <item x="199"/>
        <item x="29"/>
        <item x="294"/>
        <item x="60"/>
        <item x="278"/>
        <item x="163"/>
        <item x="250"/>
        <item x="171"/>
        <item x="284"/>
        <item x="212"/>
        <item x="83"/>
        <item x="324"/>
        <item x="173"/>
        <item x="282"/>
        <item x="84"/>
        <item x="311"/>
        <item x="257"/>
        <item x="56"/>
        <item x="71"/>
        <item x="22"/>
        <item x="205"/>
        <item x="137"/>
        <item x="58"/>
        <item x="0"/>
        <item x="146"/>
        <item x="178"/>
        <item x="319"/>
        <item x="120"/>
        <item x="333"/>
        <item x="179"/>
        <item x="302"/>
        <item x="113"/>
        <item x="181"/>
        <item x="327"/>
        <item x="274"/>
        <item x="52"/>
        <item x="312"/>
        <item x="12"/>
        <item x="27"/>
        <item x="82"/>
        <item x="213"/>
        <item x="276"/>
        <item x="34"/>
        <item x="159"/>
        <item x="156"/>
        <item x="289"/>
        <item x="227"/>
        <item x="121"/>
        <item x="218"/>
        <item x="133"/>
        <item x="286"/>
        <item x="65"/>
        <item x="143"/>
        <item x="169"/>
        <item x="271"/>
        <item x="6"/>
        <item x="316"/>
        <item x="332"/>
        <item x="277"/>
        <item x="263"/>
        <item x="157"/>
        <item x="144"/>
        <item x="51"/>
        <item x="237"/>
        <item x="321"/>
        <item x="95"/>
        <item x="243"/>
        <item x="285"/>
        <item x="269"/>
        <item x="147"/>
        <item x="168"/>
        <item x="254"/>
        <item x="220"/>
        <item x="30"/>
        <item x="153"/>
        <item x="74"/>
        <item x="197"/>
        <item x="161"/>
        <item x="166"/>
        <item x="306"/>
        <item x="318"/>
        <item x="77"/>
        <item x="328"/>
        <item x="228"/>
        <item x="331"/>
        <item x="126"/>
        <item x="92"/>
        <item x="206"/>
        <item x="119"/>
        <item x="117"/>
        <item x="187"/>
        <item x="105"/>
        <item x="309"/>
        <item x="64"/>
        <item x="125"/>
        <item x="209"/>
        <item x="189"/>
        <item x="13"/>
        <item x="214"/>
        <item x="99"/>
        <item x="41"/>
        <item x="4"/>
        <item x="26"/>
        <item x="313"/>
        <item x="240"/>
        <item x="49"/>
        <item x="172"/>
        <item x="67"/>
        <item x="8"/>
        <item x="308"/>
        <item x="43"/>
        <item x="183"/>
        <item x="86"/>
        <item x="310"/>
        <item x="102"/>
        <item x="229"/>
        <item x="204"/>
        <item x="258"/>
        <item x="322"/>
        <item x="96"/>
        <item x="287"/>
        <item x="97"/>
        <item x="295"/>
        <item x="167"/>
        <item x="334"/>
        <item x="152"/>
        <item x="291"/>
        <item x="155"/>
        <item x="62"/>
        <item x="140"/>
        <item x="298"/>
        <item x="5"/>
        <item x="165"/>
        <item x="208"/>
        <item x="103"/>
        <item x="87"/>
        <item x="116"/>
        <item x="150"/>
        <item x="139"/>
        <item x="190"/>
        <item x="154"/>
        <item x="15"/>
        <item x="100"/>
        <item x="160"/>
        <item x="188"/>
        <item x="268"/>
        <item x="329"/>
        <item x="307"/>
        <item x="75"/>
        <item x="28"/>
        <item x="280"/>
        <item x="112"/>
        <item x="247"/>
        <item x="267"/>
        <item x="70"/>
        <item x="193"/>
        <item x="185"/>
        <item x="104"/>
        <item x="260"/>
        <item x="299"/>
        <item x="330"/>
        <item x="109"/>
        <item x="3"/>
        <item x="23"/>
        <item x="110"/>
        <item x="246"/>
        <item x="17"/>
        <item x="184"/>
        <item x="107"/>
        <item x="135"/>
        <item x="111"/>
        <item x="305"/>
        <item x="182"/>
        <item x="293"/>
        <item x="232"/>
        <item x="127"/>
        <item x="253"/>
        <item x="320"/>
        <item x="223"/>
        <item x="248"/>
        <item x="98"/>
        <item x="202"/>
        <item x="79"/>
        <item x="180"/>
        <item x="215"/>
        <item x="88"/>
        <item x="275"/>
        <item x="93"/>
        <item x="207"/>
        <item x="239"/>
        <item x="59"/>
        <item x="256"/>
        <item x="194"/>
        <item x="249"/>
        <item x="68"/>
        <item x="73"/>
        <item x="323"/>
        <item x="191"/>
        <item x="14"/>
        <item x="141"/>
        <item x="315"/>
        <item x="1"/>
        <item x="203"/>
        <item x="234"/>
        <item x="37"/>
        <item x="72"/>
        <item x="217"/>
        <item x="134"/>
        <item x="200"/>
        <item x="130"/>
        <item x="108"/>
        <item x="123"/>
        <item x="219"/>
        <item x="292"/>
        <item x="211"/>
        <item x="241"/>
        <item x="24"/>
        <item x="55"/>
        <item x="326"/>
        <item x="242"/>
        <item x="216"/>
        <item x="9"/>
        <item x="224"/>
        <item x="244"/>
        <item x="115"/>
        <item x="122"/>
        <item x="145"/>
        <item x="281"/>
        <item x="296"/>
        <item x="252"/>
        <item x="231"/>
        <item x="233"/>
        <item x="101"/>
        <item x="255"/>
        <item x="210"/>
        <item x="44"/>
        <item x="198"/>
        <item x="7"/>
        <item x="186"/>
        <item x="151"/>
        <item x="261"/>
        <item x="235"/>
        <item x="175"/>
        <item x="265"/>
        <item x="300"/>
        <item x="114"/>
        <item x="236"/>
        <item x="158"/>
        <item x="273"/>
        <item x="259"/>
        <item x="106"/>
        <item x="251"/>
        <item x="221"/>
        <item x="196"/>
        <item x="297"/>
        <item x="39"/>
        <item x="81"/>
        <item x="262"/>
        <item x="272"/>
        <item x="80"/>
        <item x="78"/>
        <item x="142"/>
        <item x="222"/>
        <item x="303"/>
        <item x="54"/>
        <item t="default"/>
      </items>
    </pivotField>
    <pivotField showAll="0">
      <items count="5">
        <item x="2"/>
        <item x="0"/>
        <item x="3"/>
        <item x="1"/>
        <item t="default"/>
      </items>
    </pivotField>
  </pivotFields>
  <rowFields count="2">
    <field x="5"/>
    <field x="4"/>
  </rowFields>
  <rowItems count="456">
    <i>
      <x/>
    </i>
    <i r="1">
      <x v="20"/>
    </i>
    <i r="1">
      <x v="22"/>
    </i>
    <i r="1">
      <x v="23"/>
    </i>
    <i r="1">
      <x v="80"/>
    </i>
    <i r="1">
      <x v="119"/>
    </i>
    <i r="1">
      <x v="136"/>
    </i>
    <i r="1">
      <x v="142"/>
    </i>
    <i r="1">
      <x v="155"/>
    </i>
    <i r="1">
      <x v="183"/>
    </i>
    <i r="1">
      <x v="304"/>
    </i>
    <i r="1">
      <x v="338"/>
    </i>
    <i r="1">
      <x v="347"/>
    </i>
    <i r="1">
      <x v="375"/>
    </i>
    <i r="1">
      <x v="391"/>
    </i>
    <i>
      <x v="1"/>
    </i>
    <i r="1">
      <x v="350"/>
    </i>
    <i>
      <x v="2"/>
    </i>
    <i r="1">
      <x v="94"/>
    </i>
    <i r="1">
      <x v="95"/>
    </i>
    <i r="1">
      <x v="255"/>
    </i>
    <i r="1">
      <x v="256"/>
    </i>
    <i>
      <x v="3"/>
    </i>
    <i r="1">
      <x v="213"/>
    </i>
    <i>
      <x v="4"/>
    </i>
    <i r="1">
      <x v="62"/>
    </i>
    <i>
      <x v="5"/>
    </i>
    <i r="1">
      <x v="68"/>
    </i>
    <i r="1">
      <x v="129"/>
    </i>
    <i r="1">
      <x v="130"/>
    </i>
    <i r="1">
      <x v="132"/>
    </i>
    <i r="1">
      <x v="148"/>
    </i>
    <i r="1">
      <x v="163"/>
    </i>
    <i r="1">
      <x v="306"/>
    </i>
    <i r="1">
      <x v="354"/>
    </i>
    <i>
      <x v="6"/>
    </i>
    <i r="1">
      <x v="352"/>
    </i>
    <i>
      <x v="7"/>
    </i>
    <i r="1">
      <x v="34"/>
    </i>
    <i r="1">
      <x v="214"/>
    </i>
    <i>
      <x v="8"/>
    </i>
    <i r="1">
      <x v="9"/>
    </i>
    <i r="1">
      <x v="10"/>
    </i>
    <i r="1">
      <x v="56"/>
    </i>
    <i r="1">
      <x v="57"/>
    </i>
    <i r="1">
      <x v="67"/>
    </i>
    <i r="1">
      <x v="100"/>
    </i>
    <i r="1">
      <x v="101"/>
    </i>
    <i r="1">
      <x v="137"/>
    </i>
    <i r="1">
      <x v="295"/>
    </i>
    <i r="1">
      <x v="303"/>
    </i>
    <i>
      <x v="9"/>
    </i>
    <i r="1">
      <x v="106"/>
    </i>
    <i>
      <x v="10"/>
    </i>
    <i r="1">
      <x v="126"/>
    </i>
    <i r="1">
      <x v="207"/>
    </i>
    <i r="1">
      <x v="280"/>
    </i>
    <i r="1">
      <x v="284"/>
    </i>
    <i r="1">
      <x v="367"/>
    </i>
    <i>
      <x v="11"/>
    </i>
    <i r="1">
      <x v="84"/>
    </i>
    <i r="1">
      <x v="268"/>
    </i>
    <i>
      <x v="12"/>
    </i>
    <i r="1">
      <x v="246"/>
    </i>
    <i r="1">
      <x v="333"/>
    </i>
    <i>
      <x v="13"/>
    </i>
    <i r="1">
      <x v="1"/>
    </i>
    <i r="1">
      <x v="3"/>
    </i>
    <i r="1">
      <x v="14"/>
    </i>
    <i r="1">
      <x v="28"/>
    </i>
    <i r="1">
      <x v="29"/>
    </i>
    <i r="1">
      <x v="90"/>
    </i>
    <i r="1">
      <x v="108"/>
    </i>
    <i r="1">
      <x v="172"/>
    </i>
    <i r="1">
      <x v="173"/>
    </i>
    <i r="1">
      <x v="226"/>
    </i>
    <i r="1">
      <x v="232"/>
    </i>
    <i r="1">
      <x v="291"/>
    </i>
    <i>
      <x v="14"/>
    </i>
    <i r="1">
      <x v="5"/>
    </i>
    <i>
      <x v="15"/>
    </i>
    <i r="1">
      <x v="2"/>
    </i>
    <i r="1">
      <x v="355"/>
    </i>
    <i>
      <x v="16"/>
    </i>
    <i r="1">
      <x v="31"/>
    </i>
    <i>
      <x v="17"/>
    </i>
    <i r="1">
      <x v="4"/>
    </i>
    <i r="1">
      <x v="17"/>
    </i>
    <i r="1">
      <x v="21"/>
    </i>
    <i r="1">
      <x v="26"/>
    </i>
    <i r="1">
      <x v="32"/>
    </i>
    <i r="1">
      <x v="36"/>
    </i>
    <i r="1">
      <x v="37"/>
    </i>
    <i r="1">
      <x v="41"/>
    </i>
    <i r="1">
      <x v="42"/>
    </i>
    <i r="1">
      <x v="43"/>
    </i>
    <i r="1">
      <x v="44"/>
    </i>
    <i r="1">
      <x v="45"/>
    </i>
    <i r="1">
      <x v="46"/>
    </i>
    <i r="1">
      <x v="47"/>
    </i>
    <i r="1">
      <x v="51"/>
    </i>
    <i r="1">
      <x v="55"/>
    </i>
    <i r="1">
      <x v="58"/>
    </i>
    <i r="1">
      <x v="60"/>
    </i>
    <i r="1">
      <x v="63"/>
    </i>
    <i r="1">
      <x v="73"/>
    </i>
    <i r="1">
      <x v="78"/>
    </i>
    <i r="1">
      <x v="85"/>
    </i>
    <i r="1">
      <x v="86"/>
    </i>
    <i r="1">
      <x v="87"/>
    </i>
    <i r="1">
      <x v="89"/>
    </i>
    <i r="1">
      <x v="103"/>
    </i>
    <i r="1">
      <x v="105"/>
    </i>
    <i r="1">
      <x v="109"/>
    </i>
    <i r="1">
      <x v="111"/>
    </i>
    <i r="1">
      <x v="117"/>
    </i>
    <i r="1">
      <x v="123"/>
    </i>
    <i r="1">
      <x v="125"/>
    </i>
    <i r="1">
      <x v="133"/>
    </i>
    <i r="1">
      <x v="134"/>
    </i>
    <i r="1">
      <x v="138"/>
    </i>
    <i r="1">
      <x v="146"/>
    </i>
    <i r="1">
      <x v="159"/>
    </i>
    <i r="1">
      <x v="164"/>
    </i>
    <i r="1">
      <x v="165"/>
    </i>
    <i r="1">
      <x v="169"/>
    </i>
    <i r="1">
      <x v="174"/>
    </i>
    <i r="1">
      <x v="175"/>
    </i>
    <i r="1">
      <x v="177"/>
    </i>
    <i r="1">
      <x v="178"/>
    </i>
    <i r="1">
      <x v="184"/>
    </i>
    <i r="1">
      <x v="186"/>
    </i>
    <i r="1">
      <x v="188"/>
    </i>
    <i r="1">
      <x v="190"/>
    </i>
    <i r="1">
      <x v="191"/>
    </i>
    <i r="1">
      <x v="192"/>
    </i>
    <i r="1">
      <x v="193"/>
    </i>
    <i r="1">
      <x v="195"/>
    </i>
    <i r="1">
      <x v="203"/>
    </i>
    <i r="1">
      <x v="215"/>
    </i>
    <i r="1">
      <x v="218"/>
    </i>
    <i r="1">
      <x v="220"/>
    </i>
    <i r="1">
      <x v="221"/>
    </i>
    <i r="1">
      <x v="234"/>
    </i>
    <i r="1">
      <x v="236"/>
    </i>
    <i r="1">
      <x v="239"/>
    </i>
    <i r="1">
      <x v="241"/>
    </i>
    <i r="1">
      <x v="247"/>
    </i>
    <i r="1">
      <x v="248"/>
    </i>
    <i r="1">
      <x v="253"/>
    </i>
    <i r="1">
      <x v="257"/>
    </i>
    <i r="1">
      <x v="258"/>
    </i>
    <i r="1">
      <x v="259"/>
    </i>
    <i r="1">
      <x v="266"/>
    </i>
    <i r="1">
      <x v="267"/>
    </i>
    <i r="1">
      <x v="271"/>
    </i>
    <i r="1">
      <x v="273"/>
    </i>
    <i r="1">
      <x v="274"/>
    </i>
    <i r="1">
      <x v="275"/>
    </i>
    <i r="1">
      <x v="276"/>
    </i>
    <i r="1">
      <x v="281"/>
    </i>
    <i r="1">
      <x v="282"/>
    </i>
    <i r="1">
      <x v="294"/>
    </i>
    <i r="1">
      <x v="299"/>
    </i>
    <i r="1">
      <x v="300"/>
    </i>
    <i r="1">
      <x v="309"/>
    </i>
    <i r="1">
      <x v="324"/>
    </i>
    <i r="1">
      <x v="331"/>
    </i>
    <i r="1">
      <x v="332"/>
    </i>
    <i r="1">
      <x v="341"/>
    </i>
    <i r="1">
      <x v="344"/>
    </i>
    <i r="1">
      <x v="369"/>
    </i>
    <i r="1">
      <x v="381"/>
    </i>
    <i r="1">
      <x v="382"/>
    </i>
    <i r="1">
      <x v="384"/>
    </i>
    <i r="1">
      <x v="394"/>
    </i>
    <i r="1">
      <x v="395"/>
    </i>
    <i r="1">
      <x v="396"/>
    </i>
    <i>
      <x v="18"/>
    </i>
    <i r="1">
      <x v="208"/>
    </i>
    <i r="1">
      <x v="383"/>
    </i>
    <i>
      <x v="19"/>
    </i>
    <i r="1">
      <x v="156"/>
    </i>
    <i r="1">
      <x v="170"/>
    </i>
    <i r="1">
      <x v="212"/>
    </i>
    <i r="1">
      <x v="249"/>
    </i>
    <i>
      <x v="20"/>
    </i>
    <i r="1">
      <x v="127"/>
    </i>
    <i>
      <x v="21"/>
    </i>
    <i r="1">
      <x v="6"/>
    </i>
    <i r="1">
      <x v="8"/>
    </i>
    <i r="1">
      <x v="16"/>
    </i>
    <i>
      <x v="22"/>
    </i>
    <i r="1">
      <x v="217"/>
    </i>
    <i r="1">
      <x v="228"/>
    </i>
    <i>
      <x v="23"/>
    </i>
    <i r="1">
      <x v="238"/>
    </i>
    <i r="1">
      <x v="349"/>
    </i>
    <i>
      <x v="24"/>
    </i>
    <i r="1">
      <x v="209"/>
    </i>
    <i>
      <x v="25"/>
    </i>
    <i r="1">
      <x v="65"/>
    </i>
    <i r="1">
      <x v="104"/>
    </i>
    <i r="1">
      <x v="243"/>
    </i>
    <i r="1">
      <x v="297"/>
    </i>
    <i>
      <x v="26"/>
    </i>
    <i r="1">
      <x v="13"/>
    </i>
    <i r="1">
      <x v="279"/>
    </i>
    <i>
      <x v="27"/>
    </i>
    <i r="1">
      <x v="326"/>
    </i>
    <i r="1">
      <x v="363"/>
    </i>
    <i>
      <x v="28"/>
    </i>
    <i r="1">
      <x v="18"/>
    </i>
    <i r="1">
      <x v="25"/>
    </i>
    <i r="1">
      <x v="49"/>
    </i>
    <i r="1">
      <x v="50"/>
    </i>
    <i r="1">
      <x v="52"/>
    </i>
    <i r="1">
      <x v="59"/>
    </i>
    <i r="1">
      <x v="93"/>
    </i>
    <i r="1">
      <x v="97"/>
    </i>
    <i r="1">
      <x v="98"/>
    </i>
    <i r="1">
      <x v="102"/>
    </i>
    <i r="1">
      <x v="115"/>
    </i>
    <i r="1">
      <x v="120"/>
    </i>
    <i r="1">
      <x v="121"/>
    </i>
    <i r="1">
      <x v="122"/>
    </i>
    <i r="1">
      <x v="124"/>
    </i>
    <i r="1">
      <x v="144"/>
    </i>
    <i r="1">
      <x v="145"/>
    </i>
    <i r="1">
      <x v="176"/>
    </i>
    <i r="1">
      <x v="185"/>
    </i>
    <i r="1">
      <x v="187"/>
    </i>
    <i r="1">
      <x v="189"/>
    </i>
    <i r="1">
      <x v="202"/>
    </i>
    <i r="1">
      <x v="222"/>
    </i>
    <i r="1">
      <x v="223"/>
    </i>
    <i r="1">
      <x v="254"/>
    </i>
    <i r="1">
      <x v="269"/>
    </i>
    <i r="1">
      <x v="277"/>
    </i>
    <i r="1">
      <x v="278"/>
    </i>
    <i r="1">
      <x v="285"/>
    </i>
    <i r="1">
      <x v="286"/>
    </i>
    <i r="1">
      <x v="330"/>
    </i>
    <i r="1">
      <x v="380"/>
    </i>
    <i r="1">
      <x v="393"/>
    </i>
    <i>
      <x v="29"/>
    </i>
    <i r="1">
      <x v="150"/>
    </i>
    <i r="1">
      <x v="351"/>
    </i>
    <i r="1">
      <x v="358"/>
    </i>
    <i>
      <x v="30"/>
    </i>
    <i r="1">
      <x v="79"/>
    </i>
    <i r="1">
      <x v="270"/>
    </i>
    <i r="1">
      <x v="317"/>
    </i>
    <i>
      <x v="31"/>
    </i>
    <i r="1">
      <x v="69"/>
    </i>
    <i r="1">
      <x v="71"/>
    </i>
    <i r="1">
      <x v="75"/>
    </i>
    <i r="1">
      <x v="81"/>
    </i>
    <i r="1">
      <x v="92"/>
    </i>
    <i r="1">
      <x v="116"/>
    </i>
    <i r="1">
      <x v="128"/>
    </i>
    <i r="1">
      <x v="141"/>
    </i>
    <i r="1">
      <x v="149"/>
    </i>
    <i r="1">
      <x v="181"/>
    </i>
    <i r="1">
      <x v="199"/>
    </i>
    <i r="1">
      <x v="224"/>
    </i>
    <i r="1">
      <x v="260"/>
    </i>
    <i r="1">
      <x v="292"/>
    </i>
    <i r="1">
      <x v="293"/>
    </i>
    <i r="1">
      <x v="301"/>
    </i>
    <i r="1">
      <x v="334"/>
    </i>
    <i r="1">
      <x v="335"/>
    </i>
    <i r="1">
      <x v="364"/>
    </i>
    <i r="1">
      <x v="389"/>
    </i>
    <i>
      <x v="32"/>
    </i>
    <i r="1">
      <x v="151"/>
    </i>
    <i r="1">
      <x v="160"/>
    </i>
    <i r="1">
      <x v="225"/>
    </i>
    <i r="1">
      <x v="227"/>
    </i>
    <i r="1">
      <x v="231"/>
    </i>
    <i r="1">
      <x v="233"/>
    </i>
    <i r="1">
      <x v="325"/>
    </i>
    <i r="1">
      <x v="357"/>
    </i>
    <i r="1">
      <x v="379"/>
    </i>
    <i r="1">
      <x v="388"/>
    </i>
    <i>
      <x v="33"/>
    </i>
    <i r="1">
      <x v="113"/>
    </i>
    <i>
      <x v="34"/>
    </i>
    <i r="1">
      <x v="27"/>
    </i>
    <i r="1">
      <x v="30"/>
    </i>
    <i r="1">
      <x v="33"/>
    </i>
    <i r="1">
      <x v="35"/>
    </i>
    <i r="1">
      <x v="54"/>
    </i>
    <i r="1">
      <x v="61"/>
    </i>
    <i r="1">
      <x v="64"/>
    </i>
    <i r="1">
      <x v="72"/>
    </i>
    <i r="1">
      <x v="118"/>
    </i>
    <i r="1">
      <x v="135"/>
    </i>
    <i r="1">
      <x v="143"/>
    </i>
    <i r="1">
      <x v="179"/>
    </i>
    <i r="1">
      <x v="180"/>
    </i>
    <i r="1">
      <x v="196"/>
    </i>
    <i r="1">
      <x v="197"/>
    </i>
    <i r="1">
      <x v="198"/>
    </i>
    <i r="1">
      <x v="200"/>
    </i>
    <i r="1">
      <x v="240"/>
    </i>
    <i r="1">
      <x v="242"/>
    </i>
    <i r="1">
      <x v="287"/>
    </i>
    <i r="1">
      <x v="289"/>
    </i>
    <i r="1">
      <x v="298"/>
    </i>
    <i r="1">
      <x v="339"/>
    </i>
    <i r="1">
      <x v="370"/>
    </i>
    <i r="1">
      <x v="390"/>
    </i>
    <i>
      <x v="35"/>
    </i>
    <i r="1">
      <x v="24"/>
    </i>
    <i r="1">
      <x v="112"/>
    </i>
    <i r="1">
      <x v="152"/>
    </i>
    <i r="1">
      <x v="166"/>
    </i>
    <i r="1">
      <x v="182"/>
    </i>
    <i r="1">
      <x v="261"/>
    </i>
    <i r="1">
      <x v="262"/>
    </i>
    <i r="1">
      <x v="263"/>
    </i>
    <i r="1">
      <x v="288"/>
    </i>
    <i r="1">
      <x v="311"/>
    </i>
    <i r="1">
      <x v="312"/>
    </i>
    <i r="1">
      <x v="313"/>
    </i>
    <i r="1">
      <x v="314"/>
    </i>
    <i r="1">
      <x v="315"/>
    </i>
    <i r="1">
      <x v="316"/>
    </i>
    <i r="1">
      <x v="319"/>
    </i>
    <i r="1">
      <x v="320"/>
    </i>
    <i r="1">
      <x v="321"/>
    </i>
    <i r="1">
      <x v="322"/>
    </i>
    <i r="1">
      <x v="371"/>
    </i>
    <i r="1">
      <x v="373"/>
    </i>
    <i r="1">
      <x v="374"/>
    </i>
    <i>
      <x v="36"/>
    </i>
    <i r="1">
      <x v="38"/>
    </i>
    <i r="1">
      <x v="39"/>
    </i>
    <i r="1">
      <x v="40"/>
    </i>
    <i r="1">
      <x v="53"/>
    </i>
    <i r="1">
      <x v="153"/>
    </i>
    <i r="1">
      <x v="171"/>
    </i>
    <i r="1">
      <x v="194"/>
    </i>
    <i r="1">
      <x v="296"/>
    </i>
    <i r="1">
      <x v="345"/>
    </i>
    <i r="1">
      <x v="376"/>
    </i>
    <i r="1">
      <x v="377"/>
    </i>
    <i r="1">
      <x v="378"/>
    </i>
    <i r="1">
      <x v="398"/>
    </i>
    <i>
      <x v="37"/>
    </i>
    <i r="1">
      <x v="7"/>
    </i>
    <i r="1">
      <x v="70"/>
    </i>
    <i r="1">
      <x v="74"/>
    </i>
    <i r="1">
      <x v="139"/>
    </i>
    <i r="1">
      <x v="302"/>
    </i>
    <i r="1">
      <x v="342"/>
    </i>
    <i r="1">
      <x v="362"/>
    </i>
    <i>
      <x v="38"/>
    </i>
    <i r="1">
      <x v="99"/>
    </i>
    <i r="1">
      <x v="211"/>
    </i>
    <i r="1">
      <x v="365"/>
    </i>
    <i r="1">
      <x v="366"/>
    </i>
    <i>
      <x v="39"/>
    </i>
    <i r="1">
      <x v="19"/>
    </i>
    <i r="1">
      <x v="147"/>
    </i>
    <i r="1">
      <x v="161"/>
    </i>
    <i r="1">
      <x v="235"/>
    </i>
    <i r="1">
      <x v="305"/>
    </i>
    <i r="1">
      <x v="318"/>
    </i>
    <i>
      <x v="40"/>
    </i>
    <i r="1">
      <x v="107"/>
    </i>
    <i r="1">
      <x v="201"/>
    </i>
    <i r="1">
      <x v="210"/>
    </i>
    <i r="1">
      <x v="307"/>
    </i>
    <i r="1">
      <x v="310"/>
    </i>
    <i>
      <x v="41"/>
    </i>
    <i r="1">
      <x v="82"/>
    </i>
    <i r="1">
      <x v="83"/>
    </i>
    <i r="1">
      <x v="110"/>
    </i>
    <i r="1">
      <x v="154"/>
    </i>
    <i r="1">
      <x v="157"/>
    </i>
    <i r="1">
      <x v="206"/>
    </i>
    <i r="1">
      <x v="237"/>
    </i>
    <i r="1">
      <x v="251"/>
    </i>
    <i r="1">
      <x v="290"/>
    </i>
    <i r="1">
      <x v="308"/>
    </i>
    <i r="1">
      <x v="343"/>
    </i>
    <i r="1">
      <x v="346"/>
    </i>
    <i>
      <x v="42"/>
    </i>
    <i r="1">
      <x v="77"/>
    </i>
    <i r="1">
      <x v="356"/>
    </i>
    <i r="1">
      <x v="392"/>
    </i>
    <i>
      <x v="43"/>
    </i>
    <i r="1">
      <x v="216"/>
    </i>
    <i r="1">
      <x v="230"/>
    </i>
    <i r="1">
      <x v="264"/>
    </i>
    <i r="1">
      <x v="323"/>
    </i>
    <i r="1">
      <x v="387"/>
    </i>
    <i>
      <x v="44"/>
    </i>
    <i r="1">
      <x v="96"/>
    </i>
    <i r="1">
      <x v="229"/>
    </i>
    <i>
      <x v="45"/>
    </i>
    <i r="1">
      <x v="131"/>
    </i>
    <i r="1">
      <x v="162"/>
    </i>
    <i r="1">
      <x v="244"/>
    </i>
    <i r="1">
      <x v="245"/>
    </i>
    <i r="1">
      <x v="360"/>
    </i>
    <i>
      <x v="46"/>
    </i>
    <i r="1">
      <x v="114"/>
    </i>
    <i r="1">
      <x v="158"/>
    </i>
    <i r="1">
      <x v="265"/>
    </i>
    <i r="1">
      <x v="283"/>
    </i>
    <i r="1">
      <x v="328"/>
    </i>
    <i r="1">
      <x v="329"/>
    </i>
    <i r="1">
      <x v="359"/>
    </i>
    <i>
      <x v="47"/>
    </i>
    <i r="1">
      <x v="48"/>
    </i>
    <i r="1">
      <x v="76"/>
    </i>
    <i r="1">
      <x v="88"/>
    </i>
    <i r="1">
      <x v="91"/>
    </i>
    <i r="1">
      <x v="140"/>
    </i>
    <i r="1">
      <x v="219"/>
    </i>
    <i r="1">
      <x v="250"/>
    </i>
    <i r="1">
      <x v="348"/>
    </i>
    <i>
      <x v="48"/>
    </i>
    <i r="1">
      <x v="361"/>
    </i>
    <i>
      <x v="49"/>
    </i>
    <i r="1">
      <x v="340"/>
    </i>
    <i>
      <x v="50"/>
    </i>
    <i r="1">
      <x v="372"/>
    </i>
    <i>
      <x v="51"/>
    </i>
    <i r="1">
      <x v="15"/>
    </i>
    <i r="1">
      <x v="167"/>
    </i>
    <i r="1">
      <x v="168"/>
    </i>
    <i r="1">
      <x v="272"/>
    </i>
    <i r="1">
      <x v="327"/>
    </i>
    <i>
      <x v="52"/>
    </i>
    <i r="1">
      <x v="12"/>
    </i>
    <i>
      <x v="53"/>
    </i>
    <i r="1">
      <x v="11"/>
    </i>
    <i r="1">
      <x v="66"/>
    </i>
    <i r="1">
      <x v="204"/>
    </i>
    <i r="1">
      <x v="205"/>
    </i>
    <i r="1">
      <x v="252"/>
    </i>
    <i r="1">
      <x v="336"/>
    </i>
    <i r="1">
      <x v="337"/>
    </i>
    <i r="1">
      <x v="368"/>
    </i>
    <i r="1">
      <x v="385"/>
    </i>
    <i r="1">
      <x v="386"/>
    </i>
    <i>
      <x v="54"/>
    </i>
    <i r="1">
      <x v="353"/>
    </i>
    <i r="1">
      <x v="397"/>
    </i>
    <i>
      <x v="55"/>
    </i>
    <i r="1">
      <x/>
    </i>
    <i t="grand">
      <x/>
    </i>
  </rowItems>
  <colFields count="1">
    <field x="-2"/>
  </colFields>
  <colItems count="2">
    <i>
      <x/>
    </i>
    <i i="1">
      <x v="1"/>
    </i>
  </colItems>
  <dataFields count="2">
    <dataField name="Sum of Infections_Reported" fld="8" baseField="0" baseItem="0"/>
    <dataField name="Sum of Infections_Predicte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elf_Level__1_5__D_Door1" xr10:uid="{0F8A277A-51E3-41C8-82B3-3FC16D0DC672}" sourceName="Shelf Level (1-5, D=Door)">
  <extLst>
    <x:ext xmlns:x15="http://schemas.microsoft.com/office/spreadsheetml/2010/11/main" uri="{2F2917AC-EB37-4324-AD4E-5DD8C200BD13}">
      <x15:tableSlicerCache tableId="2"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elf Level (1-5, D=Door) 1" xr10:uid="{2DBE34F2-AE4E-4350-AFDA-4E13FF08204E}" cache="Slicer_Shelf_Level__1_5__D_Door1" caption="Shelf Level (1-5, D=Doo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3676A98-9758-4E7C-A2D8-76BCA5DD20D6}" name="PrtclList" displayName="PrtclList" ref="A12:E190" totalsRowShown="0" headerRowDxfId="21" dataDxfId="20">
  <autoFilter ref="A12:E190" xr:uid="{43676A98-9758-4E7C-A2D8-76BCA5DD20D6}">
    <filterColumn colId="0">
      <customFilters>
        <customFilter val="*"/>
      </customFilters>
    </filterColumn>
  </autoFilter>
  <sortState xmlns:xlrd2="http://schemas.microsoft.com/office/spreadsheetml/2017/richdata2" ref="A13:E190">
    <sortCondition ref="A14:A192"/>
  </sortState>
  <tableColumns count="5">
    <tableColumn id="1" xr3:uid="{0DA8AA81-3201-4E4D-AFC1-B2759D6504F2}" name="Protocol Number" dataDxfId="19"/>
    <tableColumn id="4" xr3:uid="{0531349E-DA7A-455C-AD3F-04B39A249065}" name="Alt Number" dataDxfId="18"/>
    <tableColumn id="2" xr3:uid="{5D7A5C1E-BCDB-4D4F-95E3-F52106CCD8B8}" name="Lot Number" dataDxfId="17"/>
    <tableColumn id="3" xr3:uid="{1F0AD5BA-763F-4331-9B73-0106F9554EE5}" name="Shelf Level (1-5, D=Door)" dataDxfId="16"/>
    <tableColumn id="5" xr3:uid="{CA4E15E5-C03F-4C0C-95E1-D7C371CEC767}" name="In a Bin or Loose (B/L)"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20C48D-418A-4760-95C5-0D8B15A6EBB4}" name="Table63" displayName="Table63" ref="A13:E191" totalsRowShown="0" headerRowDxfId="14" dataDxfId="13">
  <autoFilter ref="A13:E191" xr:uid="{B6AEFED3-A1B8-4EA5-91B4-B729431330C2}"/>
  <sortState xmlns:xlrd2="http://schemas.microsoft.com/office/spreadsheetml/2017/richdata2" ref="A14:E191">
    <sortCondition ref="A13:A191"/>
  </sortState>
  <tableColumns count="5">
    <tableColumn id="1" xr3:uid="{424BB199-A650-4A04-B425-D9E5AE8DBB01}" name="Protocol Number" dataDxfId="12"/>
    <tableColumn id="4" xr3:uid="{AC20D911-FE35-4019-B5CC-D1FBD6C1B58B}" name="Alt Number" dataDxfId="11"/>
    <tableColumn id="2" xr3:uid="{C3F2ED38-96E5-4CD5-89CC-A3C2B50A41F4}" name="Lot Number" dataDxfId="10"/>
    <tableColumn id="3" xr3:uid="{49B846EF-5208-4589-BA74-77B8CD4F4FE2}" name="Shelf Level (1-5, D=Door)" dataDxfId="9"/>
    <tableColumn id="5" xr3:uid="{50657E84-D322-4E14-A2DC-049D22086152}" name="In a Bin or Loose (B/L)"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AF5400-2494-4A64-A510-F8F15D97464F}" name="Table634" displayName="Table634" ref="A2:E180" totalsRowShown="0" headerRowDxfId="7" dataDxfId="6">
  <autoFilter ref="A2:E180" xr:uid="{10AF5400-2494-4A64-A510-F8F15D97464F}"/>
  <sortState xmlns:xlrd2="http://schemas.microsoft.com/office/spreadsheetml/2017/richdata2" ref="A3:E180">
    <sortCondition ref="A13:A191"/>
  </sortState>
  <tableColumns count="5">
    <tableColumn id="1" xr3:uid="{63CB2886-F4FA-45D0-A5E1-3864F49FA7B5}" name="Protocol Number" dataDxfId="5"/>
    <tableColumn id="4" xr3:uid="{26943AFC-4BCD-43EF-AFF2-8FF4287348D4}" name="Alt Number" dataDxfId="4"/>
    <tableColumn id="2" xr3:uid="{E938FCC3-121A-42D3-8EF6-F3E6CFBB64A2}" name="Lot Number" dataDxfId="3"/>
    <tableColumn id="3" xr3:uid="{18B7452A-9F7A-45E6-A786-BCA559193150}" name="Shelf Level (1-5, D=Door)" dataDxfId="2"/>
    <tableColumn id="5" xr3:uid="{E0F0F1F3-16A3-4298-BE6F-D01BC1C63B8F}" name="In a Bin or Loose (B/L)" dataDxfId="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4BBDA3-F9A9-4D75-A8E8-812372533186}" name="Table6" displayName="Table6" ref="A1:K460" totalsRowShown="0">
  <autoFilter ref="A1:K460" xr:uid="{FF4BBDA3-F9A9-4D75-A8E8-812372533186}"/>
  <tableColumns count="11">
    <tableColumn id="1" xr3:uid="{18E71FD9-2BD1-4E2E-8C32-1DD18180B168}" name="Year"/>
    <tableColumn id="2" xr3:uid="{4009874C-9EEC-4A84-9EFB-A4CE63ADA2A7}" name="State"/>
    <tableColumn id="3" xr3:uid="{FEF43DFE-2C53-4FAA-B6B9-114D50A42185}" name="Hospital_Acquired_Infection (HAI)"/>
    <tableColumn id="4" xr3:uid="{B1ED4D36-F916-4494-96B1-C50805396D69}" name="Facility_ID"/>
    <tableColumn id="5" xr3:uid="{940E9DDC-2B9F-4EC9-8991-8132FA9384BF}" name="Facility_Name"/>
    <tableColumn id="6" xr3:uid="{F3D44FA8-743F-449D-9614-45D285EE049F}" name="County"/>
    <tableColumn id="7" xr3:uid="{4479C8FF-46C8-4FB3-A959-1CCD4F1C0081}" name="Hospital_Category_RiskAdjustment"/>
    <tableColumn id="8" xr3:uid="{D4F885D0-04D5-45C8-80CC-4B5A1BBE6DB1}" name="Facility_Type"/>
    <tableColumn id="9" xr3:uid="{B7C92207-3445-46C3-AC87-B441F125F569}" name="Infections_Reported"/>
    <tableColumn id="10" xr3:uid="{3111A7A5-3FA9-4C36-B56F-AF5AA5E946B2}" name="Infections_Predicted" dataDxfId="0"/>
    <tableColumn id="15" xr3:uid="{ABDFF7BF-913C-4CB6-89BD-A0D0FD116D58}" name="Compariso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Circuit">
  <a:themeElements>
    <a:clrScheme name="Circuit">
      <a:dk1>
        <a:sysClr val="windowText" lastClr="000000"/>
      </a:dk1>
      <a:lt1>
        <a:sysClr val="window" lastClr="FFFFFF"/>
      </a:lt1>
      <a:dk2>
        <a:srgbClr val="134770"/>
      </a:dk2>
      <a:lt2>
        <a:srgbClr val="82FFFF"/>
      </a:lt2>
      <a:accent1>
        <a:srgbClr val="9ACD4C"/>
      </a:accent1>
      <a:accent2>
        <a:srgbClr val="FAA93A"/>
      </a:accent2>
      <a:accent3>
        <a:srgbClr val="D35940"/>
      </a:accent3>
      <a:accent4>
        <a:srgbClr val="B258D3"/>
      </a:accent4>
      <a:accent5>
        <a:srgbClr val="63A0CC"/>
      </a:accent5>
      <a:accent6>
        <a:srgbClr val="8AC4A7"/>
      </a:accent6>
      <a:hlink>
        <a:srgbClr val="B8FA56"/>
      </a:hlink>
      <a:folHlink>
        <a:srgbClr val="7AF8CC"/>
      </a:folHlink>
    </a:clrScheme>
    <a:fontScheme name="Cambria-Calibri">
      <a:majorFont>
        <a:latin typeface="Cambria" panose="02040503050406030204"/>
        <a:ea typeface=""/>
        <a:cs typeface=""/>
        <a:font script="Jpan" typeface="ＭＳ Ｐゴシック"/>
        <a:font script="Hang" typeface="맑은 고딕"/>
        <a:font script="Hans" typeface="黑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Circuit">
      <a:fillStyleLst>
        <a:solidFill>
          <a:schemeClr val="phClr"/>
        </a:solidFill>
        <a:gradFill rotWithShape="1">
          <a:gsLst>
            <a:gs pos="0">
              <a:schemeClr val="phClr">
                <a:tint val="58000"/>
                <a:satMod val="108000"/>
                <a:lumMod val="110000"/>
              </a:schemeClr>
            </a:gs>
            <a:gs pos="100000">
              <a:schemeClr val="phClr">
                <a:tint val="81000"/>
                <a:satMod val="109000"/>
                <a:lumMod val="105000"/>
              </a:schemeClr>
            </a:gs>
          </a:gsLst>
          <a:lin ang="5040000" scaled="0"/>
        </a:gradFill>
        <a:gradFill rotWithShape="1">
          <a:gsLst>
            <a:gs pos="0">
              <a:schemeClr val="phClr">
                <a:tint val="94000"/>
                <a:satMod val="105000"/>
                <a:lumMod val="102000"/>
              </a:schemeClr>
            </a:gs>
            <a:gs pos="100000">
              <a:schemeClr val="phClr">
                <a:shade val="74000"/>
                <a:satMod val="128000"/>
                <a:lumMod val="10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98000"/>
                <a:hueMod val="94000"/>
                <a:satMod val="148000"/>
                <a:lumMod val="150000"/>
              </a:schemeClr>
            </a:gs>
            <a:gs pos="100000">
              <a:schemeClr val="phClr">
                <a:shade val="92000"/>
                <a:hueMod val="104000"/>
                <a:satMod val="140000"/>
                <a:lumMod val="68000"/>
              </a:schemeClr>
            </a:gs>
          </a:gsLst>
          <a:lin ang="5040000" scaled="0"/>
        </a:gradFill>
        <a:blipFill>
          <a:blip xmlns:r="http://schemas.openxmlformats.org/officeDocument/2006/relationships" r:embed="rId1">
            <a:duotone>
              <a:schemeClr val="phClr">
                <a:shade val="88000"/>
                <a:hueMod val="106000"/>
                <a:satMod val="140000"/>
                <a:lumMod val="54000"/>
              </a:schemeClr>
              <a:schemeClr val="phClr">
                <a:tint val="98000"/>
                <a:hueMod val="90000"/>
                <a:satMod val="150000"/>
                <a:lumMod val="160000"/>
              </a:schemeClr>
            </a:duotone>
          </a:blip>
          <a:stretch/>
        </a:blipFill>
      </a:bgFillStyleLst>
    </a:fmtScheme>
  </a:themeElements>
  <a:objectDefaults/>
  <a:extraClrSchemeLst/>
  <a:extLst>
    <a:ext uri="{05A4C25C-085E-4340-85A3-A5531E510DB2}">
      <thm15:themeFamily xmlns:thm15="http://schemas.microsoft.com/office/thememl/2012/main" name="Circuit" id="{0AC2F7E7-15F5-431C-B2A2-456FE929F56C}" vid="{0911B802-464C-4241-8DD9-B60FF88E379F}"/>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microsoft.com/office/2007/relationships/slicer" Target="../slicers/slicer1.xml"/><Relationship Id="rId5" Type="http://schemas.openxmlformats.org/officeDocument/2006/relationships/image" Target="../media/image2.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4.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image" Target="../media/image5.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52AC7-4F0B-4D8E-9EDA-1EDCFC16267F}">
  <sheetPr codeName="Sheet2">
    <tabColor rgb="FF92D050"/>
  </sheetPr>
  <dimension ref="A5:E190"/>
  <sheetViews>
    <sheetView showGridLines="0" showRowColHeaders="0" tabSelected="1" workbookViewId="0">
      <selection activeCell="F12" sqref="F12"/>
    </sheetView>
  </sheetViews>
  <sheetFormatPr defaultRowHeight="14.4" x14ac:dyDescent="0.3"/>
  <cols>
    <col min="1" max="1" width="26.109375" bestFit="1" customWidth="1"/>
    <col min="2" max="2" width="12.88671875" bestFit="1" customWidth="1"/>
    <col min="3" max="3" width="13.109375" bestFit="1" customWidth="1"/>
    <col min="4" max="4" width="24.44140625" bestFit="1" customWidth="1"/>
    <col min="5" max="5" width="21.88671875" bestFit="1" customWidth="1"/>
  </cols>
  <sheetData>
    <row r="5" spans="1:5" x14ac:dyDescent="0.3">
      <c r="A5" s="4" t="s">
        <v>311</v>
      </c>
      <c r="B5" s="3"/>
      <c r="C5" s="3"/>
    </row>
    <row r="6" spans="1:5" x14ac:dyDescent="0.3">
      <c r="A6" s="3"/>
      <c r="B6" s="3"/>
      <c r="C6" s="3"/>
    </row>
    <row r="11" spans="1:5" x14ac:dyDescent="0.3">
      <c r="A11" s="2" t="s">
        <v>253</v>
      </c>
    </row>
    <row r="12" spans="1:5" x14ac:dyDescent="0.3">
      <c r="A12" s="2" t="s">
        <v>252</v>
      </c>
      <c r="B12" s="2" t="s">
        <v>254</v>
      </c>
      <c r="C12" s="2" t="s">
        <v>251</v>
      </c>
      <c r="D12" s="2" t="s">
        <v>250</v>
      </c>
      <c r="E12" s="2" t="s">
        <v>249</v>
      </c>
    </row>
    <row r="13" spans="1:5" x14ac:dyDescent="0.3">
      <c r="A13" t="s">
        <v>148</v>
      </c>
      <c r="B13" s="1"/>
      <c r="C13" s="1" t="s">
        <v>147</v>
      </c>
      <c r="D13" s="1">
        <v>1</v>
      </c>
      <c r="E13" s="1" t="s">
        <v>0</v>
      </c>
    </row>
    <row r="14" spans="1:5" x14ac:dyDescent="0.3">
      <c r="A14" t="s">
        <v>97</v>
      </c>
      <c r="B14" s="1"/>
      <c r="C14" s="1" t="s">
        <v>96</v>
      </c>
      <c r="D14" s="1">
        <v>1</v>
      </c>
      <c r="E14" s="1" t="s">
        <v>0</v>
      </c>
    </row>
    <row r="15" spans="1:5" x14ac:dyDescent="0.3">
      <c r="A15" t="s">
        <v>93</v>
      </c>
      <c r="B15" s="1"/>
      <c r="C15" s="1" t="s">
        <v>92</v>
      </c>
      <c r="D15" s="1">
        <v>1</v>
      </c>
      <c r="E15" s="1" t="s">
        <v>0</v>
      </c>
    </row>
    <row r="16" spans="1:5" x14ac:dyDescent="0.3">
      <c r="A16" t="s">
        <v>122</v>
      </c>
      <c r="B16" s="1"/>
      <c r="C16" s="1" t="s">
        <v>121</v>
      </c>
      <c r="D16" s="1">
        <v>1</v>
      </c>
      <c r="E16" s="1" t="s">
        <v>0</v>
      </c>
    </row>
    <row r="17" spans="1:5" x14ac:dyDescent="0.3">
      <c r="A17" t="s">
        <v>101</v>
      </c>
      <c r="B17" s="1"/>
      <c r="C17" s="1" t="s">
        <v>100</v>
      </c>
      <c r="D17" s="1">
        <v>1</v>
      </c>
      <c r="E17" s="1" t="s">
        <v>0</v>
      </c>
    </row>
    <row r="18" spans="1:5" x14ac:dyDescent="0.3">
      <c r="A18" t="s">
        <v>108</v>
      </c>
      <c r="B18" s="1"/>
      <c r="C18" s="1" t="s">
        <v>107</v>
      </c>
      <c r="D18" s="1">
        <v>1</v>
      </c>
      <c r="E18" s="1" t="s">
        <v>0</v>
      </c>
    </row>
    <row r="19" spans="1:5" x14ac:dyDescent="0.3">
      <c r="A19" t="s">
        <v>99</v>
      </c>
      <c r="B19" s="1"/>
      <c r="C19" s="1" t="s">
        <v>103</v>
      </c>
      <c r="D19" s="1">
        <v>1</v>
      </c>
      <c r="E19" s="1" t="s">
        <v>0</v>
      </c>
    </row>
    <row r="20" spans="1:5" x14ac:dyDescent="0.3">
      <c r="A20" t="s">
        <v>99</v>
      </c>
      <c r="B20" s="1"/>
      <c r="C20" s="1" t="s">
        <v>98</v>
      </c>
      <c r="D20" s="1">
        <v>1</v>
      </c>
      <c r="E20" s="1" t="s">
        <v>0</v>
      </c>
    </row>
    <row r="21" spans="1:5" x14ac:dyDescent="0.3">
      <c r="A21" t="s">
        <v>300</v>
      </c>
      <c r="B21" s="1" t="s">
        <v>68</v>
      </c>
      <c r="C21" s="1" t="s">
        <v>102</v>
      </c>
      <c r="D21" s="1">
        <v>1</v>
      </c>
      <c r="E21" s="1" t="s">
        <v>0</v>
      </c>
    </row>
    <row r="22" spans="1:5" x14ac:dyDescent="0.3">
      <c r="A22" t="s">
        <v>95</v>
      </c>
      <c r="B22" s="1"/>
      <c r="C22" s="1" t="s">
        <v>94</v>
      </c>
      <c r="D22" s="1">
        <v>1</v>
      </c>
      <c r="E22" s="1" t="s">
        <v>0</v>
      </c>
    </row>
    <row r="23" spans="1:5" x14ac:dyDescent="0.3">
      <c r="A23" t="s">
        <v>135</v>
      </c>
      <c r="B23" s="1"/>
      <c r="C23" s="1" t="s">
        <v>134</v>
      </c>
      <c r="D23" s="1">
        <v>1</v>
      </c>
      <c r="E23" s="1" t="s">
        <v>0</v>
      </c>
    </row>
    <row r="24" spans="1:5" x14ac:dyDescent="0.3">
      <c r="A24" t="s">
        <v>106</v>
      </c>
      <c r="B24" s="1"/>
      <c r="C24" s="1" t="s">
        <v>105</v>
      </c>
      <c r="D24" s="1">
        <v>1</v>
      </c>
      <c r="E24" s="1" t="s">
        <v>0</v>
      </c>
    </row>
    <row r="25" spans="1:5" x14ac:dyDescent="0.3">
      <c r="A25" t="s">
        <v>113</v>
      </c>
      <c r="B25" s="1"/>
      <c r="C25" s="1" t="s">
        <v>112</v>
      </c>
      <c r="D25" s="1">
        <v>1</v>
      </c>
      <c r="E25" s="1" t="s">
        <v>0</v>
      </c>
    </row>
    <row r="26" spans="1:5" x14ac:dyDescent="0.3">
      <c r="A26" t="s">
        <v>297</v>
      </c>
      <c r="B26" s="1" t="s">
        <v>68</v>
      </c>
      <c r="C26" s="1" t="s">
        <v>141</v>
      </c>
      <c r="D26" s="1">
        <v>1</v>
      </c>
      <c r="E26" s="1" t="s">
        <v>0</v>
      </c>
    </row>
    <row r="27" spans="1:5" x14ac:dyDescent="0.3">
      <c r="A27" t="s">
        <v>143</v>
      </c>
      <c r="B27" s="1"/>
      <c r="C27" s="1" t="s">
        <v>142</v>
      </c>
      <c r="D27" s="1">
        <v>1</v>
      </c>
      <c r="E27" s="1" t="s">
        <v>0</v>
      </c>
    </row>
    <row r="28" spans="1:5" x14ac:dyDescent="0.3">
      <c r="A28" t="s">
        <v>301</v>
      </c>
      <c r="B28" s="1" t="s">
        <v>50</v>
      </c>
      <c r="C28" s="1" t="s">
        <v>120</v>
      </c>
      <c r="D28" s="1">
        <v>1</v>
      </c>
      <c r="E28" s="1" t="s">
        <v>0</v>
      </c>
    </row>
    <row r="29" spans="1:5" x14ac:dyDescent="0.3">
      <c r="A29" t="s">
        <v>298</v>
      </c>
      <c r="B29" s="1" t="s">
        <v>90</v>
      </c>
      <c r="C29" s="1" t="s">
        <v>145</v>
      </c>
      <c r="D29" s="1">
        <v>1</v>
      </c>
      <c r="E29" s="1" t="s">
        <v>0</v>
      </c>
    </row>
    <row r="30" spans="1:5" x14ac:dyDescent="0.3">
      <c r="A30" t="s">
        <v>302</v>
      </c>
      <c r="B30" s="1" t="s">
        <v>152</v>
      </c>
      <c r="C30" s="1" t="s">
        <v>125</v>
      </c>
      <c r="D30" s="1">
        <v>1</v>
      </c>
      <c r="E30" s="1" t="s">
        <v>0</v>
      </c>
    </row>
    <row r="31" spans="1:5" x14ac:dyDescent="0.3">
      <c r="A31" t="s">
        <v>110</v>
      </c>
      <c r="B31" s="1"/>
      <c r="C31" s="1" t="s">
        <v>109</v>
      </c>
      <c r="D31" s="1">
        <v>1</v>
      </c>
      <c r="E31" s="1" t="s">
        <v>0</v>
      </c>
    </row>
    <row r="32" spans="1:5" x14ac:dyDescent="0.3">
      <c r="A32" t="s">
        <v>303</v>
      </c>
      <c r="B32" s="1" t="s">
        <v>186</v>
      </c>
      <c r="C32" s="1" t="s">
        <v>144</v>
      </c>
      <c r="D32" s="1">
        <v>1</v>
      </c>
      <c r="E32" s="1" t="s">
        <v>0</v>
      </c>
    </row>
    <row r="33" spans="1:5" x14ac:dyDescent="0.3">
      <c r="A33" t="s">
        <v>304</v>
      </c>
      <c r="B33" s="1" t="s">
        <v>260</v>
      </c>
      <c r="C33" s="1" t="s">
        <v>111</v>
      </c>
      <c r="D33" s="1">
        <v>1</v>
      </c>
      <c r="E33" s="1" t="s">
        <v>0</v>
      </c>
    </row>
    <row r="34" spans="1:5" x14ac:dyDescent="0.3">
      <c r="A34" t="s">
        <v>115</v>
      </c>
      <c r="B34" s="1"/>
      <c r="C34" s="1" t="s">
        <v>114</v>
      </c>
      <c r="D34" s="1">
        <v>1</v>
      </c>
      <c r="E34" s="1" t="s">
        <v>0</v>
      </c>
    </row>
    <row r="35" spans="1:5" x14ac:dyDescent="0.3">
      <c r="A35" t="s">
        <v>115</v>
      </c>
      <c r="B35" s="1" t="s">
        <v>227</v>
      </c>
      <c r="C35" s="1" t="s">
        <v>114</v>
      </c>
      <c r="D35" s="1">
        <v>1</v>
      </c>
      <c r="E35" s="1" t="s">
        <v>0</v>
      </c>
    </row>
    <row r="36" spans="1:5" x14ac:dyDescent="0.3">
      <c r="A36" t="s">
        <v>299</v>
      </c>
      <c r="B36" s="1" t="s">
        <v>257</v>
      </c>
      <c r="C36" s="1" t="s">
        <v>123</v>
      </c>
      <c r="D36" s="1">
        <v>1</v>
      </c>
      <c r="E36" s="1" t="s">
        <v>0</v>
      </c>
    </row>
    <row r="37" spans="1:5" x14ac:dyDescent="0.3">
      <c r="A37" t="s">
        <v>171</v>
      </c>
      <c r="B37" s="1"/>
      <c r="C37" s="1" t="s">
        <v>170</v>
      </c>
      <c r="D37" s="1" t="s">
        <v>169</v>
      </c>
      <c r="E37" s="1" t="s">
        <v>149</v>
      </c>
    </row>
    <row r="38" spans="1:5" x14ac:dyDescent="0.3">
      <c r="A38" t="s">
        <v>305</v>
      </c>
      <c r="B38" s="1" t="s">
        <v>261</v>
      </c>
      <c r="C38" s="1" t="s">
        <v>104</v>
      </c>
      <c r="D38" s="1">
        <v>1</v>
      </c>
      <c r="E38" s="1" t="s">
        <v>0</v>
      </c>
    </row>
    <row r="39" spans="1:5" x14ac:dyDescent="0.3">
      <c r="A39" t="s">
        <v>117</v>
      </c>
      <c r="B39" s="1"/>
      <c r="C39" s="1" t="s">
        <v>116</v>
      </c>
      <c r="D39" s="1">
        <v>1</v>
      </c>
      <c r="E39" s="1" t="s">
        <v>0</v>
      </c>
    </row>
    <row r="40" spans="1:5" x14ac:dyDescent="0.3">
      <c r="A40" t="s">
        <v>139</v>
      </c>
      <c r="B40" s="1"/>
      <c r="C40" s="1" t="s">
        <v>138</v>
      </c>
      <c r="D40" s="1">
        <v>1</v>
      </c>
      <c r="E40" s="1" t="s">
        <v>0</v>
      </c>
    </row>
    <row r="41" spans="1:5" x14ac:dyDescent="0.3">
      <c r="A41" t="s">
        <v>306</v>
      </c>
      <c r="B41" s="1" t="s">
        <v>208</v>
      </c>
      <c r="C41" s="1" t="s">
        <v>140</v>
      </c>
      <c r="D41" s="1">
        <v>1</v>
      </c>
      <c r="E41" s="1" t="s">
        <v>0</v>
      </c>
    </row>
    <row r="42" spans="1:5" x14ac:dyDescent="0.3">
      <c r="A42" t="s">
        <v>307</v>
      </c>
      <c r="B42" s="1" t="s">
        <v>259</v>
      </c>
      <c r="C42" s="1" t="s">
        <v>118</v>
      </c>
      <c r="D42" s="1">
        <v>1</v>
      </c>
      <c r="E42" s="1" t="s">
        <v>0</v>
      </c>
    </row>
    <row r="43" spans="1:5" x14ac:dyDescent="0.3">
      <c r="A43" t="s">
        <v>129</v>
      </c>
      <c r="B43" s="1"/>
      <c r="C43" s="1" t="s">
        <v>128</v>
      </c>
      <c r="D43" s="1">
        <v>1</v>
      </c>
      <c r="E43" s="1" t="s">
        <v>0</v>
      </c>
    </row>
    <row r="44" spans="1:5" x14ac:dyDescent="0.3">
      <c r="A44" t="s">
        <v>133</v>
      </c>
      <c r="B44" s="1"/>
      <c r="C44" s="1" t="s">
        <v>132</v>
      </c>
      <c r="D44" s="1">
        <v>1</v>
      </c>
      <c r="E44" s="1" t="s">
        <v>0</v>
      </c>
    </row>
    <row r="45" spans="1:5" x14ac:dyDescent="0.3">
      <c r="A45" t="s">
        <v>131</v>
      </c>
      <c r="B45" s="1"/>
      <c r="C45" s="1" t="s">
        <v>130</v>
      </c>
      <c r="D45" s="1">
        <v>1</v>
      </c>
      <c r="E45" s="1" t="s">
        <v>0</v>
      </c>
    </row>
    <row r="46" spans="1:5" x14ac:dyDescent="0.3">
      <c r="A46" t="s">
        <v>127</v>
      </c>
      <c r="B46" s="1"/>
      <c r="C46" s="1" t="s">
        <v>126</v>
      </c>
      <c r="D46" s="1">
        <v>1</v>
      </c>
      <c r="E46" s="1" t="s">
        <v>0</v>
      </c>
    </row>
    <row r="47" spans="1:5" x14ac:dyDescent="0.3">
      <c r="A47" t="s">
        <v>137</v>
      </c>
      <c r="B47" s="1"/>
      <c r="C47" s="1" t="s">
        <v>136</v>
      </c>
      <c r="D47" s="1">
        <v>1</v>
      </c>
      <c r="E47" s="1" t="s">
        <v>0</v>
      </c>
    </row>
    <row r="48" spans="1:5" x14ac:dyDescent="0.3">
      <c r="A48" t="s">
        <v>308</v>
      </c>
      <c r="B48" s="1" t="s">
        <v>256</v>
      </c>
      <c r="C48" s="1" t="s">
        <v>124</v>
      </c>
      <c r="D48" s="1">
        <v>1</v>
      </c>
      <c r="E48" s="1" t="s">
        <v>0</v>
      </c>
    </row>
    <row r="49" spans="1:5" x14ac:dyDescent="0.3">
      <c r="A49" t="s">
        <v>313</v>
      </c>
      <c r="B49" s="1" t="s">
        <v>258</v>
      </c>
      <c r="C49" s="1" t="s">
        <v>119</v>
      </c>
      <c r="D49" s="1">
        <v>1</v>
      </c>
      <c r="E49" s="1" t="s">
        <v>0</v>
      </c>
    </row>
    <row r="50" spans="1:5" x14ac:dyDescent="0.3">
      <c r="A50" t="s">
        <v>309</v>
      </c>
      <c r="B50" s="1" t="s">
        <v>235</v>
      </c>
      <c r="C50" s="1" t="s">
        <v>91</v>
      </c>
      <c r="D50" s="1">
        <v>1</v>
      </c>
      <c r="E50" s="1" t="s">
        <v>0</v>
      </c>
    </row>
    <row r="51" spans="1:5" x14ac:dyDescent="0.3">
      <c r="A51" t="s">
        <v>310</v>
      </c>
      <c r="B51" s="1" t="s">
        <v>255</v>
      </c>
      <c r="C51" s="1" t="s">
        <v>146</v>
      </c>
      <c r="D51" s="1">
        <v>1</v>
      </c>
      <c r="E51" s="1" t="s">
        <v>0</v>
      </c>
    </row>
    <row r="52" spans="1:5" x14ac:dyDescent="0.3">
      <c r="A52" t="s">
        <v>180</v>
      </c>
      <c r="B52" s="1"/>
      <c r="C52" s="1" t="s">
        <v>179</v>
      </c>
      <c r="D52" s="1" t="s">
        <v>169</v>
      </c>
      <c r="E52" s="1" t="s">
        <v>149</v>
      </c>
    </row>
    <row r="53" spans="1:5" x14ac:dyDescent="0.3">
      <c r="A53" t="s">
        <v>25</v>
      </c>
      <c r="B53" s="1"/>
      <c r="C53" s="1" t="s">
        <v>24</v>
      </c>
      <c r="D53" s="1">
        <v>4</v>
      </c>
      <c r="E53" s="1" t="s">
        <v>0</v>
      </c>
    </row>
    <row r="54" spans="1:5" x14ac:dyDescent="0.3">
      <c r="A54" t="s">
        <v>14</v>
      </c>
      <c r="B54" s="1"/>
      <c r="C54" s="1" t="s">
        <v>23</v>
      </c>
      <c r="D54" s="1">
        <v>4</v>
      </c>
      <c r="E54" s="1" t="s">
        <v>0</v>
      </c>
    </row>
    <row r="55" spans="1:5" x14ac:dyDescent="0.3">
      <c r="A55" t="s">
        <v>14</v>
      </c>
      <c r="B55" s="1"/>
      <c r="C55" s="1" t="s">
        <v>13</v>
      </c>
      <c r="D55" s="1">
        <v>4</v>
      </c>
      <c r="E55" s="1" t="s">
        <v>0</v>
      </c>
    </row>
    <row r="56" spans="1:5" x14ac:dyDescent="0.3">
      <c r="A56" t="s">
        <v>18</v>
      </c>
      <c r="B56" s="1"/>
      <c r="C56" s="1" t="s">
        <v>19</v>
      </c>
      <c r="D56" s="1">
        <v>4</v>
      </c>
      <c r="E56" s="1" t="s">
        <v>0</v>
      </c>
    </row>
    <row r="57" spans="1:5" x14ac:dyDescent="0.3">
      <c r="A57" t="s">
        <v>18</v>
      </c>
      <c r="B57" s="1"/>
      <c r="C57" s="1" t="s">
        <v>17</v>
      </c>
      <c r="D57" s="1">
        <v>4</v>
      </c>
      <c r="E57" s="1" t="s">
        <v>0</v>
      </c>
    </row>
    <row r="58" spans="1:5" x14ac:dyDescent="0.3">
      <c r="A58" t="s">
        <v>21</v>
      </c>
      <c r="B58" s="1"/>
      <c r="C58" s="1" t="s">
        <v>22</v>
      </c>
      <c r="D58" s="1">
        <v>4</v>
      </c>
      <c r="E58" s="1" t="s">
        <v>0</v>
      </c>
    </row>
    <row r="59" spans="1:5" x14ac:dyDescent="0.3">
      <c r="A59" t="s">
        <v>21</v>
      </c>
      <c r="B59" s="1"/>
      <c r="C59" s="1" t="s">
        <v>20</v>
      </c>
      <c r="D59" s="1">
        <v>4</v>
      </c>
      <c r="E59" s="1" t="s">
        <v>0</v>
      </c>
    </row>
    <row r="60" spans="1:5" x14ac:dyDescent="0.3">
      <c r="A60" t="s">
        <v>16</v>
      </c>
      <c r="B60" s="1"/>
      <c r="C60" s="1" t="s">
        <v>15</v>
      </c>
      <c r="D60" s="1">
        <v>4</v>
      </c>
      <c r="E60" s="1" t="s">
        <v>0</v>
      </c>
    </row>
    <row r="61" spans="1:5" x14ac:dyDescent="0.3">
      <c r="A61" t="s">
        <v>58</v>
      </c>
      <c r="B61" s="1"/>
      <c r="C61" s="1" t="s">
        <v>79</v>
      </c>
      <c r="D61" s="1">
        <v>3</v>
      </c>
      <c r="E61" s="1" t="s">
        <v>0</v>
      </c>
    </row>
    <row r="62" spans="1:5" x14ac:dyDescent="0.3">
      <c r="A62" t="s">
        <v>58</v>
      </c>
      <c r="B62" s="1"/>
      <c r="C62" s="1" t="s">
        <v>57</v>
      </c>
      <c r="D62" s="1">
        <v>3</v>
      </c>
      <c r="E62" s="1" t="s">
        <v>0</v>
      </c>
    </row>
    <row r="63" spans="1:5" x14ac:dyDescent="0.3">
      <c r="A63" t="s">
        <v>74</v>
      </c>
      <c r="B63" s="1"/>
      <c r="C63" s="1" t="s">
        <v>76</v>
      </c>
      <c r="D63" s="1">
        <v>3</v>
      </c>
      <c r="E63" s="1" t="s">
        <v>0</v>
      </c>
    </row>
    <row r="64" spans="1:5" x14ac:dyDescent="0.3">
      <c r="A64" t="s">
        <v>74</v>
      </c>
      <c r="B64" s="1"/>
      <c r="C64" s="1" t="s">
        <v>73</v>
      </c>
      <c r="D64" s="1">
        <v>3</v>
      </c>
      <c r="E64" s="1" t="s">
        <v>0</v>
      </c>
    </row>
    <row r="65" spans="1:5" x14ac:dyDescent="0.3">
      <c r="A65" t="s">
        <v>66</v>
      </c>
      <c r="B65" s="1"/>
      <c r="C65" s="1" t="s">
        <v>78</v>
      </c>
      <c r="D65" s="1">
        <v>3</v>
      </c>
      <c r="E65" s="1" t="s">
        <v>0</v>
      </c>
    </row>
    <row r="66" spans="1:5" x14ac:dyDescent="0.3">
      <c r="A66" t="s">
        <v>66</v>
      </c>
      <c r="B66" s="1"/>
      <c r="C66" s="1" t="s">
        <v>65</v>
      </c>
      <c r="D66" s="1">
        <v>3</v>
      </c>
      <c r="E66" s="1" t="s">
        <v>0</v>
      </c>
    </row>
    <row r="67" spans="1:5" x14ac:dyDescent="0.3">
      <c r="A67" t="s">
        <v>81</v>
      </c>
      <c r="B67" s="1"/>
      <c r="C67" s="1" t="s">
        <v>80</v>
      </c>
      <c r="D67" s="1">
        <v>3</v>
      </c>
      <c r="E67" s="1" t="s">
        <v>0</v>
      </c>
    </row>
    <row r="68" spans="1:5" x14ac:dyDescent="0.3">
      <c r="A68" t="s">
        <v>62</v>
      </c>
      <c r="B68" s="1"/>
      <c r="C68" s="1" t="s">
        <v>77</v>
      </c>
      <c r="D68" s="1">
        <v>3</v>
      </c>
      <c r="E68" s="1" t="s">
        <v>0</v>
      </c>
    </row>
    <row r="69" spans="1:5" x14ac:dyDescent="0.3">
      <c r="A69" t="s">
        <v>62</v>
      </c>
      <c r="B69" s="1"/>
      <c r="C69" s="1" t="s">
        <v>75</v>
      </c>
      <c r="D69" s="1">
        <v>3</v>
      </c>
      <c r="E69" s="1" t="s">
        <v>0</v>
      </c>
    </row>
    <row r="70" spans="1:5" x14ac:dyDescent="0.3">
      <c r="A70" t="s">
        <v>62</v>
      </c>
      <c r="B70" s="1"/>
      <c r="C70" s="1" t="s">
        <v>61</v>
      </c>
      <c r="D70" s="1">
        <v>3</v>
      </c>
      <c r="E70" s="1" t="s">
        <v>0</v>
      </c>
    </row>
    <row r="71" spans="1:5" x14ac:dyDescent="0.3">
      <c r="A71" t="s">
        <v>262</v>
      </c>
      <c r="B71" s="1"/>
      <c r="C71" s="1" t="s">
        <v>56</v>
      </c>
      <c r="D71" s="1">
        <v>3</v>
      </c>
      <c r="E71" s="1" t="s">
        <v>0</v>
      </c>
    </row>
    <row r="72" spans="1:5" x14ac:dyDescent="0.3">
      <c r="A72" t="s">
        <v>263</v>
      </c>
      <c r="B72" s="1"/>
      <c r="C72" s="1" t="s">
        <v>56</v>
      </c>
      <c r="D72" s="1">
        <v>3</v>
      </c>
      <c r="E72" s="1" t="s">
        <v>0</v>
      </c>
    </row>
    <row r="73" spans="1:5" x14ac:dyDescent="0.3">
      <c r="A73" t="s">
        <v>84</v>
      </c>
      <c r="B73" s="1"/>
      <c r="C73" s="1" t="s">
        <v>83</v>
      </c>
      <c r="D73" s="1">
        <v>3</v>
      </c>
      <c r="E73" s="1" t="s">
        <v>0</v>
      </c>
    </row>
    <row r="74" spans="1:5" x14ac:dyDescent="0.3">
      <c r="A74" t="s">
        <v>64</v>
      </c>
      <c r="B74" s="1"/>
      <c r="C74" s="1" t="s">
        <v>63</v>
      </c>
      <c r="D74" s="1">
        <v>3</v>
      </c>
      <c r="E74" s="1" t="s">
        <v>0</v>
      </c>
    </row>
    <row r="75" spans="1:5" x14ac:dyDescent="0.3">
      <c r="A75" t="s">
        <v>220</v>
      </c>
      <c r="B75" s="1"/>
      <c r="C75" s="1" t="s">
        <v>219</v>
      </c>
      <c r="D75" s="1">
        <v>2</v>
      </c>
      <c r="E75" s="1" t="s">
        <v>0</v>
      </c>
    </row>
    <row r="76" spans="1:5" x14ac:dyDescent="0.3">
      <c r="A76" t="s">
        <v>53</v>
      </c>
      <c r="B76" s="1"/>
      <c r="C76" s="1" t="s">
        <v>52</v>
      </c>
      <c r="D76" s="1">
        <v>3</v>
      </c>
      <c r="E76" s="1" t="s">
        <v>0</v>
      </c>
    </row>
    <row r="77" spans="1:5" x14ac:dyDescent="0.3">
      <c r="A77" t="s">
        <v>47</v>
      </c>
      <c r="B77" s="1"/>
      <c r="C77" s="1" t="s">
        <v>51</v>
      </c>
      <c r="D77" s="1">
        <v>3</v>
      </c>
      <c r="E77" s="1" t="s">
        <v>0</v>
      </c>
    </row>
    <row r="78" spans="1:5" x14ac:dyDescent="0.3">
      <c r="A78" t="s">
        <v>47</v>
      </c>
      <c r="B78" s="1"/>
      <c r="C78" s="1" t="s">
        <v>46</v>
      </c>
      <c r="D78" s="1">
        <v>3</v>
      </c>
      <c r="E78" s="1" t="s">
        <v>0</v>
      </c>
    </row>
    <row r="79" spans="1:5" x14ac:dyDescent="0.3">
      <c r="A79" t="s">
        <v>39</v>
      </c>
      <c r="B79" s="1"/>
      <c r="C79" s="1" t="s">
        <v>38</v>
      </c>
      <c r="D79" s="1">
        <v>3</v>
      </c>
      <c r="E79" s="1" t="s">
        <v>0</v>
      </c>
    </row>
    <row r="80" spans="1:5" x14ac:dyDescent="0.3">
      <c r="A80" t="s">
        <v>43</v>
      </c>
      <c r="B80" s="1"/>
      <c r="C80" s="1" t="s">
        <v>42</v>
      </c>
      <c r="D80" s="1">
        <v>3</v>
      </c>
      <c r="E80" s="1" t="s">
        <v>0</v>
      </c>
    </row>
    <row r="81" spans="1:5" x14ac:dyDescent="0.3">
      <c r="A81" t="s">
        <v>35</v>
      </c>
      <c r="B81" s="1"/>
      <c r="C81" s="1" t="s">
        <v>34</v>
      </c>
      <c r="D81" s="1">
        <v>3</v>
      </c>
      <c r="E81" s="1" t="s">
        <v>0</v>
      </c>
    </row>
    <row r="82" spans="1:5" x14ac:dyDescent="0.3">
      <c r="A82" t="s">
        <v>33</v>
      </c>
      <c r="B82" s="1"/>
      <c r="C82" s="1" t="s">
        <v>32</v>
      </c>
      <c r="D82" s="1">
        <v>3</v>
      </c>
      <c r="E82" s="1" t="s">
        <v>0</v>
      </c>
    </row>
    <row r="83" spans="1:5" x14ac:dyDescent="0.3">
      <c r="A83" t="s">
        <v>55</v>
      </c>
      <c r="B83" s="1"/>
      <c r="C83" s="1" t="s">
        <v>54</v>
      </c>
      <c r="D83" s="1">
        <v>3</v>
      </c>
      <c r="E83" s="1" t="s">
        <v>0</v>
      </c>
    </row>
    <row r="84" spans="1:5" x14ac:dyDescent="0.3">
      <c r="A84" t="s">
        <v>45</v>
      </c>
      <c r="B84" s="1"/>
      <c r="C84" s="1" t="s">
        <v>44</v>
      </c>
      <c r="D84" s="1">
        <v>3</v>
      </c>
      <c r="E84" s="1" t="s">
        <v>0</v>
      </c>
    </row>
    <row r="85" spans="1:5" x14ac:dyDescent="0.3">
      <c r="A85" t="s">
        <v>50</v>
      </c>
      <c r="B85" s="1"/>
      <c r="C85" s="1" t="s">
        <v>49</v>
      </c>
      <c r="D85" s="1">
        <v>3</v>
      </c>
      <c r="E85" s="1" t="s">
        <v>0</v>
      </c>
    </row>
    <row r="86" spans="1:5" x14ac:dyDescent="0.3">
      <c r="A86" t="s">
        <v>72</v>
      </c>
      <c r="B86" s="1"/>
      <c r="C86" s="1" t="s">
        <v>71</v>
      </c>
      <c r="D86" s="1">
        <v>3</v>
      </c>
      <c r="E86" s="1" t="s">
        <v>0</v>
      </c>
    </row>
    <row r="87" spans="1:5" x14ac:dyDescent="0.3">
      <c r="A87" t="s">
        <v>41</v>
      </c>
      <c r="B87" s="1"/>
      <c r="C87" s="1" t="s">
        <v>40</v>
      </c>
      <c r="D87" s="1">
        <v>3</v>
      </c>
      <c r="E87" s="1" t="s">
        <v>0</v>
      </c>
    </row>
    <row r="88" spans="1:5" x14ac:dyDescent="0.3">
      <c r="A88" t="s">
        <v>86</v>
      </c>
      <c r="B88" s="1"/>
      <c r="C88" s="1" t="s">
        <v>85</v>
      </c>
      <c r="D88" s="1">
        <v>3</v>
      </c>
      <c r="E88" s="1" t="s">
        <v>0</v>
      </c>
    </row>
    <row r="89" spans="1:5" x14ac:dyDescent="0.3">
      <c r="A89" t="s">
        <v>31</v>
      </c>
      <c r="B89" s="1"/>
      <c r="C89" s="1" t="s">
        <v>150</v>
      </c>
      <c r="D89" s="1">
        <v>1</v>
      </c>
      <c r="E89" s="1" t="s">
        <v>149</v>
      </c>
    </row>
    <row r="90" spans="1:5" x14ac:dyDescent="0.3">
      <c r="A90" t="s">
        <v>31</v>
      </c>
      <c r="B90" s="1"/>
      <c r="C90" s="1" t="s">
        <v>30</v>
      </c>
      <c r="D90" s="1">
        <v>3</v>
      </c>
      <c r="E90" s="1" t="s">
        <v>0</v>
      </c>
    </row>
    <row r="91" spans="1:5" x14ac:dyDescent="0.3">
      <c r="A91" t="s">
        <v>37</v>
      </c>
      <c r="B91" s="1"/>
      <c r="C91" s="1" t="s">
        <v>48</v>
      </c>
      <c r="D91" s="1">
        <v>3</v>
      </c>
      <c r="E91" s="1" t="s">
        <v>0</v>
      </c>
    </row>
    <row r="92" spans="1:5" x14ac:dyDescent="0.3">
      <c r="A92" t="s">
        <v>37</v>
      </c>
      <c r="B92" s="1"/>
      <c r="C92" s="1" t="s">
        <v>36</v>
      </c>
      <c r="D92" s="1">
        <v>3</v>
      </c>
      <c r="E92" s="1" t="s">
        <v>0</v>
      </c>
    </row>
    <row r="93" spans="1:5" x14ac:dyDescent="0.3">
      <c r="A93" t="s">
        <v>173</v>
      </c>
      <c r="B93" s="1"/>
      <c r="C93" s="1" t="s">
        <v>172</v>
      </c>
      <c r="D93" s="1" t="s">
        <v>169</v>
      </c>
      <c r="E93" s="1" t="s">
        <v>149</v>
      </c>
    </row>
    <row r="94" spans="1:5" x14ac:dyDescent="0.3">
      <c r="A94" t="s">
        <v>60</v>
      </c>
      <c r="B94" s="1"/>
      <c r="C94" s="1" t="s">
        <v>82</v>
      </c>
      <c r="D94" s="1">
        <v>3</v>
      </c>
      <c r="E94" s="1" t="s">
        <v>0</v>
      </c>
    </row>
    <row r="95" spans="1:5" x14ac:dyDescent="0.3">
      <c r="A95" t="s">
        <v>60</v>
      </c>
      <c r="B95" s="1"/>
      <c r="C95" s="1" t="s">
        <v>59</v>
      </c>
      <c r="D95" s="1">
        <v>3</v>
      </c>
      <c r="E95" s="1" t="s">
        <v>0</v>
      </c>
    </row>
    <row r="96" spans="1:5" x14ac:dyDescent="0.3">
      <c r="A96" t="s">
        <v>60</v>
      </c>
      <c r="B96" s="1"/>
      <c r="C96" s="1" t="s">
        <v>280</v>
      </c>
      <c r="D96" s="1">
        <v>5</v>
      </c>
      <c r="E96" s="1" t="s">
        <v>0</v>
      </c>
    </row>
    <row r="97" spans="1:5" x14ac:dyDescent="0.3">
      <c r="A97" t="s">
        <v>68</v>
      </c>
      <c r="B97" s="1"/>
      <c r="C97" s="1" t="s">
        <v>153</v>
      </c>
      <c r="D97" s="1">
        <v>1</v>
      </c>
      <c r="E97" s="1" t="s">
        <v>149</v>
      </c>
    </row>
    <row r="98" spans="1:5" x14ac:dyDescent="0.3">
      <c r="A98" t="s">
        <v>68</v>
      </c>
      <c r="B98" s="1"/>
      <c r="C98" s="1" t="s">
        <v>67</v>
      </c>
      <c r="D98" s="1">
        <v>3</v>
      </c>
      <c r="E98" s="1" t="s">
        <v>0</v>
      </c>
    </row>
    <row r="99" spans="1:5" x14ac:dyDescent="0.3">
      <c r="A99" t="s">
        <v>176</v>
      </c>
      <c r="B99" s="1"/>
      <c r="C99" s="1" t="s">
        <v>175</v>
      </c>
      <c r="D99" s="1" t="s">
        <v>169</v>
      </c>
      <c r="E99" s="1" t="s">
        <v>149</v>
      </c>
    </row>
    <row r="100" spans="1:5" x14ac:dyDescent="0.3">
      <c r="A100" t="s">
        <v>29</v>
      </c>
      <c r="B100" s="1"/>
      <c r="C100" s="1" t="s">
        <v>28</v>
      </c>
      <c r="D100" s="1">
        <v>3</v>
      </c>
      <c r="E100" s="1" t="s">
        <v>0</v>
      </c>
    </row>
    <row r="101" spans="1:5" x14ac:dyDescent="0.3">
      <c r="A101" t="s">
        <v>90</v>
      </c>
      <c r="B101" s="1"/>
      <c r="C101" s="1" t="s">
        <v>89</v>
      </c>
      <c r="D101" s="1">
        <v>3</v>
      </c>
      <c r="E101" s="1" t="s">
        <v>0</v>
      </c>
    </row>
    <row r="102" spans="1:5" x14ac:dyDescent="0.3">
      <c r="A102" t="s">
        <v>27</v>
      </c>
      <c r="B102" s="1"/>
      <c r="C102" s="1" t="s">
        <v>26</v>
      </c>
      <c r="D102" s="1">
        <v>4</v>
      </c>
      <c r="E102" s="1" t="s">
        <v>0</v>
      </c>
    </row>
    <row r="103" spans="1:5" x14ac:dyDescent="0.3">
      <c r="A103" t="s">
        <v>229</v>
      </c>
      <c r="B103" s="1"/>
      <c r="C103" s="1" t="s">
        <v>228</v>
      </c>
      <c r="D103" s="1">
        <v>2</v>
      </c>
      <c r="E103" s="1" t="s">
        <v>0</v>
      </c>
    </row>
    <row r="104" spans="1:5" x14ac:dyDescent="0.3">
      <c r="A104" t="s">
        <v>229</v>
      </c>
      <c r="B104" s="1"/>
      <c r="C104" s="1" t="s">
        <v>273</v>
      </c>
      <c r="D104" s="1">
        <v>5</v>
      </c>
      <c r="E104" s="1" t="s">
        <v>0</v>
      </c>
    </row>
    <row r="105" spans="1:5" x14ac:dyDescent="0.3">
      <c r="A105" t="s">
        <v>70</v>
      </c>
      <c r="B105" s="1"/>
      <c r="C105" s="1" t="s">
        <v>69</v>
      </c>
      <c r="D105" s="1">
        <v>3</v>
      </c>
      <c r="E105" s="1" t="s">
        <v>0</v>
      </c>
    </row>
    <row r="106" spans="1:5" x14ac:dyDescent="0.3">
      <c r="A106" t="s">
        <v>227</v>
      </c>
      <c r="B106" s="1"/>
      <c r="C106" s="1" t="s">
        <v>177</v>
      </c>
      <c r="D106" s="1">
        <v>2</v>
      </c>
      <c r="E106" s="1" t="s">
        <v>0</v>
      </c>
    </row>
    <row r="107" spans="1:5" x14ac:dyDescent="0.3">
      <c r="A107" t="s">
        <v>178</v>
      </c>
      <c r="B107" s="1"/>
      <c r="C107" s="1" t="s">
        <v>177</v>
      </c>
      <c r="D107" s="1" t="s">
        <v>169</v>
      </c>
      <c r="E107" s="1" t="s">
        <v>149</v>
      </c>
    </row>
    <row r="108" spans="1:5" x14ac:dyDescent="0.3">
      <c r="A108" t="s">
        <v>198</v>
      </c>
      <c r="B108" s="1"/>
      <c r="C108" s="1" t="s">
        <v>197</v>
      </c>
      <c r="D108" s="1">
        <v>2</v>
      </c>
      <c r="E108" s="1" t="s">
        <v>0</v>
      </c>
    </row>
    <row r="109" spans="1:5" x14ac:dyDescent="0.3">
      <c r="A109" t="s">
        <v>198</v>
      </c>
      <c r="B109" s="1"/>
      <c r="C109" s="1" t="s">
        <v>279</v>
      </c>
      <c r="D109" s="1">
        <v>5</v>
      </c>
      <c r="E109" s="1" t="s">
        <v>0</v>
      </c>
    </row>
    <row r="110" spans="1:5" x14ac:dyDescent="0.3">
      <c r="A110" t="s">
        <v>198</v>
      </c>
      <c r="B110" s="1"/>
      <c r="C110" s="1" t="s">
        <v>282</v>
      </c>
      <c r="D110" s="1">
        <v>5</v>
      </c>
      <c r="E110" s="1" t="s">
        <v>0</v>
      </c>
    </row>
    <row r="111" spans="1:5" x14ac:dyDescent="0.3">
      <c r="A111" t="s">
        <v>264</v>
      </c>
      <c r="B111" s="1" t="s">
        <v>265</v>
      </c>
      <c r="C111" s="1" t="s">
        <v>12</v>
      </c>
      <c r="D111" s="1">
        <v>4</v>
      </c>
      <c r="E111" s="1" t="s">
        <v>0</v>
      </c>
    </row>
    <row r="112" spans="1:5" x14ac:dyDescent="0.3">
      <c r="A112" t="s">
        <v>264</v>
      </c>
      <c r="B112" s="1" t="s">
        <v>265</v>
      </c>
      <c r="C112" s="1" t="s">
        <v>11</v>
      </c>
      <c r="D112" s="1">
        <v>4</v>
      </c>
      <c r="E112" s="1" t="s">
        <v>0</v>
      </c>
    </row>
    <row r="113" spans="1:5" x14ac:dyDescent="0.3">
      <c r="A113" t="s">
        <v>264</v>
      </c>
      <c r="B113" s="1" t="s">
        <v>265</v>
      </c>
      <c r="C113" s="1" t="s">
        <v>10</v>
      </c>
      <c r="D113" s="1">
        <v>4</v>
      </c>
      <c r="E113" s="1" t="s">
        <v>0</v>
      </c>
    </row>
    <row r="114" spans="1:5" x14ac:dyDescent="0.3">
      <c r="A114" t="s">
        <v>264</v>
      </c>
      <c r="B114" s="1" t="s">
        <v>265</v>
      </c>
      <c r="C114" s="1" t="s">
        <v>9</v>
      </c>
      <c r="D114" s="1">
        <v>4</v>
      </c>
      <c r="E114" s="1" t="s">
        <v>0</v>
      </c>
    </row>
    <row r="115" spans="1:5" x14ac:dyDescent="0.3">
      <c r="A115" t="s">
        <v>264</v>
      </c>
      <c r="B115" s="1" t="s">
        <v>265</v>
      </c>
      <c r="C115" s="1" t="s">
        <v>8</v>
      </c>
      <c r="D115" s="1">
        <v>4</v>
      </c>
      <c r="E115" s="1" t="s">
        <v>0</v>
      </c>
    </row>
    <row r="116" spans="1:5" x14ac:dyDescent="0.3">
      <c r="A116" t="s">
        <v>264</v>
      </c>
      <c r="B116" s="1" t="s">
        <v>265</v>
      </c>
      <c r="C116" s="1" t="s">
        <v>7</v>
      </c>
      <c r="D116" s="1">
        <v>4</v>
      </c>
      <c r="E116" s="1" t="s">
        <v>0</v>
      </c>
    </row>
    <row r="117" spans="1:5" x14ac:dyDescent="0.3">
      <c r="A117" t="s">
        <v>264</v>
      </c>
      <c r="B117" s="1" t="s">
        <v>265</v>
      </c>
      <c r="C117" s="1" t="s">
        <v>6</v>
      </c>
      <c r="D117" s="1">
        <v>4</v>
      </c>
      <c r="E117" s="1" t="s">
        <v>0</v>
      </c>
    </row>
    <row r="118" spans="1:5" x14ac:dyDescent="0.3">
      <c r="A118" t="s">
        <v>264</v>
      </c>
      <c r="B118" s="1" t="s">
        <v>265</v>
      </c>
      <c r="C118" s="1" t="s">
        <v>5</v>
      </c>
      <c r="D118" s="1">
        <v>4</v>
      </c>
      <c r="E118" s="1" t="s">
        <v>0</v>
      </c>
    </row>
    <row r="119" spans="1:5" x14ac:dyDescent="0.3">
      <c r="A119" t="s">
        <v>264</v>
      </c>
      <c r="B119" s="1" t="s">
        <v>265</v>
      </c>
      <c r="C119" s="1" t="s">
        <v>4</v>
      </c>
      <c r="D119" s="1">
        <v>4</v>
      </c>
      <c r="E119" s="1" t="s">
        <v>0</v>
      </c>
    </row>
    <row r="120" spans="1:5" x14ac:dyDescent="0.3">
      <c r="A120" t="s">
        <v>264</v>
      </c>
      <c r="B120" s="1" t="s">
        <v>265</v>
      </c>
      <c r="C120" s="1" t="s">
        <v>3</v>
      </c>
      <c r="D120" s="1">
        <v>4</v>
      </c>
      <c r="E120" s="1" t="s">
        <v>0</v>
      </c>
    </row>
    <row r="121" spans="1:5" x14ac:dyDescent="0.3">
      <c r="A121" t="s">
        <v>264</v>
      </c>
      <c r="B121" s="1" t="s">
        <v>265</v>
      </c>
      <c r="C121" s="1" t="s">
        <v>2</v>
      </c>
      <c r="D121" s="1">
        <v>4</v>
      </c>
      <c r="E121" s="1" t="s">
        <v>0</v>
      </c>
    </row>
    <row r="122" spans="1:5" x14ac:dyDescent="0.3">
      <c r="A122" t="s">
        <v>264</v>
      </c>
      <c r="B122" s="1" t="s">
        <v>265</v>
      </c>
      <c r="C122" s="1" t="s">
        <v>1</v>
      </c>
      <c r="D122" s="1">
        <v>4</v>
      </c>
      <c r="E122" s="1" t="s">
        <v>0</v>
      </c>
    </row>
    <row r="123" spans="1:5" x14ac:dyDescent="0.3">
      <c r="A123" t="s">
        <v>264</v>
      </c>
      <c r="B123" s="1" t="s">
        <v>265</v>
      </c>
      <c r="C123" s="1" t="s">
        <v>285</v>
      </c>
      <c r="D123" s="1">
        <v>5</v>
      </c>
      <c r="E123" s="1" t="s">
        <v>0</v>
      </c>
    </row>
    <row r="124" spans="1:5" x14ac:dyDescent="0.3">
      <c r="A124" t="s">
        <v>264</v>
      </c>
      <c r="B124" s="1" t="s">
        <v>265</v>
      </c>
      <c r="C124" s="1" t="s">
        <v>286</v>
      </c>
      <c r="D124" s="1">
        <v>5</v>
      </c>
      <c r="E124" s="1" t="s">
        <v>0</v>
      </c>
    </row>
    <row r="125" spans="1:5" x14ac:dyDescent="0.3">
      <c r="A125" t="s">
        <v>264</v>
      </c>
      <c r="B125" s="1" t="s">
        <v>265</v>
      </c>
      <c r="C125" s="1" t="s">
        <v>287</v>
      </c>
      <c r="D125" s="1">
        <v>5</v>
      </c>
      <c r="E125" s="1" t="s">
        <v>0</v>
      </c>
    </row>
    <row r="126" spans="1:5" x14ac:dyDescent="0.3">
      <c r="A126" t="s">
        <v>264</v>
      </c>
      <c r="B126" s="1" t="s">
        <v>265</v>
      </c>
      <c r="C126" s="1" t="s">
        <v>5</v>
      </c>
      <c r="D126" s="1">
        <v>5</v>
      </c>
      <c r="E126" s="1" t="s">
        <v>0</v>
      </c>
    </row>
    <row r="127" spans="1:5" x14ac:dyDescent="0.3">
      <c r="A127" t="s">
        <v>264</v>
      </c>
      <c r="B127" s="1" t="s">
        <v>265</v>
      </c>
      <c r="C127" s="1" t="s">
        <v>288</v>
      </c>
      <c r="D127" s="1">
        <v>5</v>
      </c>
      <c r="E127" s="1" t="s">
        <v>0</v>
      </c>
    </row>
    <row r="128" spans="1:5" x14ac:dyDescent="0.3">
      <c r="A128" t="s">
        <v>264</v>
      </c>
      <c r="B128" s="1" t="s">
        <v>265</v>
      </c>
      <c r="C128" s="1" t="s">
        <v>289</v>
      </c>
      <c r="D128" s="1">
        <v>5</v>
      </c>
      <c r="E128" s="1" t="s">
        <v>0</v>
      </c>
    </row>
    <row r="129" spans="1:5" x14ac:dyDescent="0.3">
      <c r="A129" t="s">
        <v>264</v>
      </c>
      <c r="B129" s="1" t="s">
        <v>265</v>
      </c>
      <c r="C129" s="1" t="s">
        <v>7</v>
      </c>
      <c r="D129" s="1">
        <v>5</v>
      </c>
      <c r="E129" s="1" t="s">
        <v>0</v>
      </c>
    </row>
    <row r="130" spans="1:5" x14ac:dyDescent="0.3">
      <c r="A130" t="s">
        <v>264</v>
      </c>
      <c r="B130" s="1" t="s">
        <v>265</v>
      </c>
      <c r="C130" s="1" t="s">
        <v>290</v>
      </c>
      <c r="D130" s="1">
        <v>5</v>
      </c>
      <c r="E130" s="1" t="s">
        <v>0</v>
      </c>
    </row>
    <row r="131" spans="1:5" x14ac:dyDescent="0.3">
      <c r="A131" t="s">
        <v>264</v>
      </c>
      <c r="B131" s="1" t="s">
        <v>265</v>
      </c>
      <c r="C131" s="1" t="s">
        <v>291</v>
      </c>
      <c r="D131" s="1">
        <v>5</v>
      </c>
      <c r="E131" s="1" t="s">
        <v>0</v>
      </c>
    </row>
    <row r="132" spans="1:5" x14ac:dyDescent="0.3">
      <c r="A132" t="s">
        <v>264</v>
      </c>
      <c r="B132" s="1" t="s">
        <v>265</v>
      </c>
      <c r="C132" s="1" t="s">
        <v>292</v>
      </c>
      <c r="D132" s="1">
        <v>5</v>
      </c>
      <c r="E132" s="1" t="s">
        <v>0</v>
      </c>
    </row>
    <row r="133" spans="1:5" x14ac:dyDescent="0.3">
      <c r="A133" t="s">
        <v>264</v>
      </c>
      <c r="B133" s="1" t="s">
        <v>265</v>
      </c>
      <c r="C133" s="1" t="s">
        <v>293</v>
      </c>
      <c r="D133" s="1">
        <v>5</v>
      </c>
      <c r="E133" s="1" t="s">
        <v>0</v>
      </c>
    </row>
    <row r="134" spans="1:5" x14ac:dyDescent="0.3">
      <c r="A134" t="s">
        <v>264</v>
      </c>
      <c r="B134" s="1" t="s">
        <v>265</v>
      </c>
      <c r="C134" s="1" t="s">
        <v>294</v>
      </c>
      <c r="D134" s="1">
        <v>5</v>
      </c>
      <c r="E134" s="1" t="s">
        <v>0</v>
      </c>
    </row>
    <row r="135" spans="1:5" x14ac:dyDescent="0.3">
      <c r="A135" t="s">
        <v>264</v>
      </c>
      <c r="B135" s="1" t="s">
        <v>265</v>
      </c>
      <c r="C135" s="1" t="s">
        <v>295</v>
      </c>
      <c r="D135" s="1">
        <v>5</v>
      </c>
      <c r="E135" s="1" t="s">
        <v>0</v>
      </c>
    </row>
    <row r="136" spans="1:5" x14ac:dyDescent="0.3">
      <c r="A136" t="s">
        <v>264</v>
      </c>
      <c r="B136" s="1" t="s">
        <v>265</v>
      </c>
      <c r="C136" s="1" t="s">
        <v>296</v>
      </c>
      <c r="D136" s="1">
        <v>5</v>
      </c>
      <c r="E136" s="1" t="s">
        <v>0</v>
      </c>
    </row>
    <row r="137" spans="1:5" x14ac:dyDescent="0.3">
      <c r="A137" t="s">
        <v>222</v>
      </c>
      <c r="B137" s="1"/>
      <c r="C137" s="1" t="s">
        <v>221</v>
      </c>
      <c r="D137" s="1">
        <v>2</v>
      </c>
      <c r="E137" s="1" t="s">
        <v>0</v>
      </c>
    </row>
    <row r="138" spans="1:5" x14ac:dyDescent="0.3">
      <c r="A138" t="s">
        <v>248</v>
      </c>
      <c r="B138" s="1"/>
      <c r="C138" s="1" t="s">
        <v>247</v>
      </c>
      <c r="D138" s="1">
        <v>2</v>
      </c>
      <c r="E138" s="1" t="s">
        <v>0</v>
      </c>
    </row>
    <row r="139" spans="1:5" x14ac:dyDescent="0.3">
      <c r="A139" t="s">
        <v>240</v>
      </c>
      <c r="B139" s="1"/>
      <c r="C139" s="1" t="s">
        <v>239</v>
      </c>
      <c r="D139" s="1">
        <v>2</v>
      </c>
      <c r="E139" s="1" t="s">
        <v>0</v>
      </c>
    </row>
    <row r="140" spans="1:5" x14ac:dyDescent="0.3">
      <c r="A140" t="s">
        <v>218</v>
      </c>
      <c r="B140" s="1"/>
      <c r="C140" s="1" t="s">
        <v>217</v>
      </c>
      <c r="D140" s="1">
        <v>2</v>
      </c>
      <c r="E140" s="1" t="s">
        <v>0</v>
      </c>
    </row>
    <row r="141" spans="1:5" x14ac:dyDescent="0.3">
      <c r="A141" t="s">
        <v>271</v>
      </c>
      <c r="B141" s="1"/>
      <c r="C141" s="1" t="s">
        <v>281</v>
      </c>
      <c r="D141" s="1">
        <v>5</v>
      </c>
      <c r="E141" s="1" t="s">
        <v>0</v>
      </c>
    </row>
    <row r="142" spans="1:5" x14ac:dyDescent="0.3">
      <c r="A142" t="s">
        <v>266</v>
      </c>
      <c r="B142" s="1"/>
      <c r="C142" s="1" t="s">
        <v>272</v>
      </c>
      <c r="D142" s="1">
        <v>5</v>
      </c>
      <c r="E142" s="1" t="s">
        <v>0</v>
      </c>
    </row>
    <row r="143" spans="1:5" x14ac:dyDescent="0.3">
      <c r="A143" t="s">
        <v>164</v>
      </c>
      <c r="B143" s="1"/>
      <c r="C143" s="1" t="s">
        <v>163</v>
      </c>
      <c r="D143" s="1">
        <v>1</v>
      </c>
      <c r="E143" s="1" t="s">
        <v>149</v>
      </c>
    </row>
    <row r="144" spans="1:5" x14ac:dyDescent="0.3">
      <c r="A144" t="s">
        <v>160</v>
      </c>
      <c r="B144" s="1"/>
      <c r="C144" s="1" t="s">
        <v>174</v>
      </c>
      <c r="D144" s="1" t="s">
        <v>169</v>
      </c>
      <c r="E144" s="1" t="s">
        <v>149</v>
      </c>
    </row>
    <row r="145" spans="1:5" x14ac:dyDescent="0.3">
      <c r="A145" t="s">
        <v>160</v>
      </c>
      <c r="B145" s="1"/>
      <c r="C145" s="1" t="s">
        <v>174</v>
      </c>
      <c r="D145" s="1" t="s">
        <v>169</v>
      </c>
      <c r="E145" s="1" t="s">
        <v>149</v>
      </c>
    </row>
    <row r="146" spans="1:5" x14ac:dyDescent="0.3">
      <c r="A146" t="s">
        <v>160</v>
      </c>
      <c r="B146" s="1"/>
      <c r="C146" s="1" t="s">
        <v>158</v>
      </c>
      <c r="D146" s="1">
        <v>1</v>
      </c>
      <c r="E146" s="1" t="s">
        <v>149</v>
      </c>
    </row>
    <row r="147" spans="1:5" x14ac:dyDescent="0.3">
      <c r="A147" t="s">
        <v>244</v>
      </c>
      <c r="B147" s="1"/>
      <c r="C147" s="1" t="s">
        <v>243</v>
      </c>
      <c r="D147" s="1">
        <v>2</v>
      </c>
      <c r="E147" s="1" t="s">
        <v>0</v>
      </c>
    </row>
    <row r="148" spans="1:5" x14ac:dyDescent="0.3">
      <c r="A148" t="s">
        <v>226</v>
      </c>
      <c r="B148" s="1"/>
      <c r="C148" s="1" t="s">
        <v>225</v>
      </c>
      <c r="D148" s="1">
        <v>2</v>
      </c>
      <c r="E148" s="1" t="s">
        <v>149</v>
      </c>
    </row>
    <row r="149" spans="1:5" x14ac:dyDescent="0.3">
      <c r="A149" t="s">
        <v>186</v>
      </c>
      <c r="B149" s="1"/>
      <c r="C149" s="1" t="s">
        <v>185</v>
      </c>
      <c r="D149" s="1">
        <v>2</v>
      </c>
      <c r="E149" s="1" t="s">
        <v>0</v>
      </c>
    </row>
    <row r="150" spans="1:5" x14ac:dyDescent="0.3">
      <c r="A150" t="s">
        <v>242</v>
      </c>
      <c r="B150" s="1"/>
      <c r="C150" s="1" t="s">
        <v>241</v>
      </c>
      <c r="D150" s="1">
        <v>2</v>
      </c>
      <c r="E150" s="1" t="s">
        <v>0</v>
      </c>
    </row>
    <row r="151" spans="1:5" x14ac:dyDescent="0.3">
      <c r="A151" t="s">
        <v>208</v>
      </c>
      <c r="B151" s="1"/>
      <c r="C151" s="1" t="s">
        <v>236</v>
      </c>
      <c r="D151" s="1">
        <v>2</v>
      </c>
      <c r="E151" s="1" t="s">
        <v>0</v>
      </c>
    </row>
    <row r="152" spans="1:5" x14ac:dyDescent="0.3">
      <c r="A152" t="s">
        <v>208</v>
      </c>
      <c r="B152" s="1"/>
      <c r="C152" s="1" t="s">
        <v>207</v>
      </c>
      <c r="D152" s="1">
        <v>2</v>
      </c>
      <c r="E152" s="1" t="s">
        <v>0</v>
      </c>
    </row>
    <row r="153" spans="1:5" x14ac:dyDescent="0.3">
      <c r="A153" t="s">
        <v>152</v>
      </c>
      <c r="B153" s="1"/>
      <c r="C153" s="1" t="s">
        <v>151</v>
      </c>
      <c r="D153" s="1">
        <v>1</v>
      </c>
      <c r="E153" s="1" t="s">
        <v>149</v>
      </c>
    </row>
    <row r="154" spans="1:5" x14ac:dyDescent="0.3">
      <c r="A154" t="s">
        <v>269</v>
      </c>
      <c r="B154" s="1"/>
      <c r="C154" s="1" t="s">
        <v>276</v>
      </c>
      <c r="D154" s="1">
        <v>5</v>
      </c>
      <c r="E154" s="1" t="s">
        <v>0</v>
      </c>
    </row>
    <row r="155" spans="1:5" x14ac:dyDescent="0.3">
      <c r="A155" t="s">
        <v>231</v>
      </c>
      <c r="B155" s="1"/>
      <c r="C155" s="1" t="s">
        <v>230</v>
      </c>
      <c r="D155" s="1">
        <v>2</v>
      </c>
      <c r="E155" s="1" t="s">
        <v>0</v>
      </c>
    </row>
    <row r="156" spans="1:5" x14ac:dyDescent="0.3">
      <c r="A156" t="s">
        <v>224</v>
      </c>
      <c r="B156" s="1"/>
      <c r="C156" s="1" t="s">
        <v>246</v>
      </c>
      <c r="D156" s="1">
        <v>2</v>
      </c>
      <c r="E156" s="1" t="s">
        <v>0</v>
      </c>
    </row>
    <row r="157" spans="1:5" x14ac:dyDescent="0.3">
      <c r="A157" t="s">
        <v>224</v>
      </c>
      <c r="B157" s="1"/>
      <c r="C157" s="1" t="s">
        <v>223</v>
      </c>
      <c r="D157" s="1">
        <v>2</v>
      </c>
      <c r="E157" s="1" t="s">
        <v>149</v>
      </c>
    </row>
    <row r="158" spans="1:5" x14ac:dyDescent="0.3">
      <c r="A158" t="s">
        <v>157</v>
      </c>
      <c r="B158" s="1"/>
      <c r="C158" s="1" t="s">
        <v>233</v>
      </c>
      <c r="D158" s="1">
        <v>2</v>
      </c>
      <c r="E158" s="1" t="s">
        <v>0</v>
      </c>
    </row>
    <row r="159" spans="1:5" x14ac:dyDescent="0.3">
      <c r="A159" t="s">
        <v>157</v>
      </c>
      <c r="B159" s="1"/>
      <c r="C159" s="1" t="s">
        <v>156</v>
      </c>
      <c r="D159" s="1">
        <v>1</v>
      </c>
      <c r="E159" s="1" t="s">
        <v>149</v>
      </c>
    </row>
    <row r="160" spans="1:5" x14ac:dyDescent="0.3">
      <c r="A160" t="s">
        <v>216</v>
      </c>
      <c r="B160" s="1"/>
      <c r="C160" s="1" t="s">
        <v>245</v>
      </c>
      <c r="D160" s="1">
        <v>2</v>
      </c>
      <c r="E160" s="1" t="s">
        <v>0</v>
      </c>
    </row>
    <row r="161" spans="1:5" x14ac:dyDescent="0.3">
      <c r="A161" t="s">
        <v>216</v>
      </c>
      <c r="B161" s="1"/>
      <c r="C161" s="1" t="s">
        <v>215</v>
      </c>
      <c r="D161" s="1">
        <v>2</v>
      </c>
      <c r="E161" s="1" t="s">
        <v>0</v>
      </c>
    </row>
    <row r="162" spans="1:5" x14ac:dyDescent="0.3">
      <c r="A162" t="s">
        <v>212</v>
      </c>
      <c r="B162" s="1"/>
      <c r="C162" s="1" t="s">
        <v>211</v>
      </c>
      <c r="D162" s="1">
        <v>2</v>
      </c>
      <c r="E162" s="1" t="s">
        <v>0</v>
      </c>
    </row>
    <row r="163" spans="1:5" x14ac:dyDescent="0.3">
      <c r="A163" t="s">
        <v>268</v>
      </c>
      <c r="B163" s="1"/>
      <c r="C163" s="1" t="s">
        <v>275</v>
      </c>
      <c r="D163" s="1">
        <v>5</v>
      </c>
      <c r="E163" s="1" t="s">
        <v>0</v>
      </c>
    </row>
    <row r="164" spans="1:5" x14ac:dyDescent="0.3">
      <c r="A164" t="s">
        <v>190</v>
      </c>
      <c r="B164" s="1"/>
      <c r="C164" s="1" t="s">
        <v>189</v>
      </c>
      <c r="D164" s="1">
        <v>2</v>
      </c>
      <c r="E164" s="1" t="s">
        <v>0</v>
      </c>
    </row>
    <row r="165" spans="1:5" x14ac:dyDescent="0.3">
      <c r="A165" t="s">
        <v>190</v>
      </c>
      <c r="B165" s="1"/>
      <c r="C165" s="1" t="s">
        <v>284</v>
      </c>
      <c r="D165" s="1">
        <v>5</v>
      </c>
      <c r="E165" s="1" t="s">
        <v>0</v>
      </c>
    </row>
    <row r="166" spans="1:5" x14ac:dyDescent="0.3">
      <c r="A166" t="s">
        <v>192</v>
      </c>
      <c r="B166" s="1"/>
      <c r="C166" s="1" t="s">
        <v>191</v>
      </c>
      <c r="D166" s="1">
        <v>2</v>
      </c>
      <c r="E166" s="1" t="s">
        <v>0</v>
      </c>
    </row>
    <row r="167" spans="1:5" x14ac:dyDescent="0.3">
      <c r="A167" t="s">
        <v>214</v>
      </c>
      <c r="B167" s="1"/>
      <c r="C167" s="1" t="s">
        <v>213</v>
      </c>
      <c r="D167" s="1">
        <v>2</v>
      </c>
      <c r="E167" s="1" t="s">
        <v>0</v>
      </c>
    </row>
    <row r="168" spans="1:5" x14ac:dyDescent="0.3">
      <c r="A168" t="s">
        <v>214</v>
      </c>
      <c r="B168" s="1"/>
      <c r="C168" s="1" t="s">
        <v>278</v>
      </c>
      <c r="D168" s="1">
        <v>5</v>
      </c>
      <c r="E168" s="1" t="s">
        <v>0</v>
      </c>
    </row>
    <row r="169" spans="1:5" x14ac:dyDescent="0.3">
      <c r="A169" t="s">
        <v>238</v>
      </c>
      <c r="B169" s="1"/>
      <c r="C169" s="1" t="s">
        <v>237</v>
      </c>
      <c r="D169" s="1">
        <v>2</v>
      </c>
      <c r="E169" s="1" t="s">
        <v>0</v>
      </c>
    </row>
    <row r="170" spans="1:5" x14ac:dyDescent="0.3">
      <c r="A170" t="s">
        <v>166</v>
      </c>
      <c r="B170" s="1"/>
      <c r="C170" s="1" t="s">
        <v>165</v>
      </c>
      <c r="D170" s="1">
        <v>1</v>
      </c>
      <c r="E170" s="1" t="s">
        <v>149</v>
      </c>
    </row>
    <row r="171" spans="1:5" x14ac:dyDescent="0.3">
      <c r="A171" t="s">
        <v>159</v>
      </c>
      <c r="B171" s="1"/>
      <c r="C171" s="1" t="s">
        <v>158</v>
      </c>
      <c r="D171" s="1">
        <v>1</v>
      </c>
      <c r="E171" s="1" t="s">
        <v>149</v>
      </c>
    </row>
    <row r="172" spans="1:5" x14ac:dyDescent="0.3">
      <c r="A172" t="s">
        <v>162</v>
      </c>
      <c r="B172" s="1"/>
      <c r="C172" s="1" t="s">
        <v>161</v>
      </c>
      <c r="D172" s="1">
        <v>1</v>
      </c>
      <c r="E172" s="1" t="s">
        <v>149</v>
      </c>
    </row>
    <row r="173" spans="1:5" x14ac:dyDescent="0.3">
      <c r="A173" t="s">
        <v>204</v>
      </c>
      <c r="B173" s="1"/>
      <c r="C173" s="1" t="s">
        <v>203</v>
      </c>
      <c r="D173" s="1">
        <v>2</v>
      </c>
      <c r="E173" s="1" t="s">
        <v>0</v>
      </c>
    </row>
    <row r="174" spans="1:5" x14ac:dyDescent="0.3">
      <c r="A174" t="s">
        <v>200</v>
      </c>
      <c r="B174" s="1"/>
      <c r="C174" s="1" t="s">
        <v>199</v>
      </c>
      <c r="D174" s="1">
        <v>2</v>
      </c>
      <c r="E174" s="1" t="s">
        <v>0</v>
      </c>
    </row>
    <row r="175" spans="1:5" x14ac:dyDescent="0.3">
      <c r="A175" t="s">
        <v>267</v>
      </c>
      <c r="B175" s="1"/>
      <c r="C175" s="1" t="s">
        <v>274</v>
      </c>
      <c r="D175" s="1">
        <v>5</v>
      </c>
      <c r="E175" s="1" t="s">
        <v>0</v>
      </c>
    </row>
    <row r="176" spans="1:5" x14ac:dyDescent="0.3">
      <c r="A176" t="s">
        <v>267</v>
      </c>
      <c r="B176" s="1"/>
      <c r="C176" s="1" t="s">
        <v>283</v>
      </c>
      <c r="D176" s="1">
        <v>5</v>
      </c>
      <c r="E176" s="1" t="s">
        <v>0</v>
      </c>
    </row>
    <row r="177" spans="1:5" x14ac:dyDescent="0.3">
      <c r="A177" t="s">
        <v>88</v>
      </c>
      <c r="B177" s="1"/>
      <c r="C177" s="1" t="s">
        <v>87</v>
      </c>
      <c r="D177" s="1">
        <v>3</v>
      </c>
      <c r="E177" s="1" t="s">
        <v>0</v>
      </c>
    </row>
    <row r="178" spans="1:5" x14ac:dyDescent="0.3">
      <c r="A178" t="s">
        <v>168</v>
      </c>
      <c r="B178" s="1"/>
      <c r="C178" s="1" t="s">
        <v>167</v>
      </c>
      <c r="D178" s="1">
        <v>1</v>
      </c>
      <c r="E178" s="1" t="s">
        <v>149</v>
      </c>
    </row>
    <row r="179" spans="1:5" x14ac:dyDescent="0.3">
      <c r="A179" t="s">
        <v>210</v>
      </c>
      <c r="B179" s="1"/>
      <c r="C179" s="1" t="s">
        <v>209</v>
      </c>
      <c r="D179" s="1">
        <v>2</v>
      </c>
      <c r="E179" s="1" t="s">
        <v>0</v>
      </c>
    </row>
    <row r="180" spans="1:5" x14ac:dyDescent="0.3">
      <c r="A180" t="s">
        <v>270</v>
      </c>
      <c r="B180" s="1"/>
      <c r="C180" s="1" t="s">
        <v>277</v>
      </c>
      <c r="D180" s="1">
        <v>5</v>
      </c>
      <c r="E180" s="1" t="s">
        <v>0</v>
      </c>
    </row>
    <row r="181" spans="1:5" x14ac:dyDescent="0.3">
      <c r="A181" t="s">
        <v>194</v>
      </c>
      <c r="B181" s="1"/>
      <c r="C181" s="1" t="s">
        <v>193</v>
      </c>
      <c r="D181" s="1">
        <v>2</v>
      </c>
      <c r="E181" s="1" t="s">
        <v>0</v>
      </c>
    </row>
    <row r="182" spans="1:5" x14ac:dyDescent="0.3">
      <c r="A182" t="s">
        <v>188</v>
      </c>
      <c r="B182" s="1"/>
      <c r="C182" s="1" t="s">
        <v>187</v>
      </c>
      <c r="D182" s="1">
        <v>2</v>
      </c>
      <c r="E182" s="1" t="s">
        <v>0</v>
      </c>
    </row>
    <row r="183" spans="1:5" x14ac:dyDescent="0.3">
      <c r="A183" t="s">
        <v>202</v>
      </c>
      <c r="B183" s="1"/>
      <c r="C183" s="1" t="s">
        <v>201</v>
      </c>
      <c r="D183" s="1">
        <v>2</v>
      </c>
      <c r="E183" s="1" t="s">
        <v>0</v>
      </c>
    </row>
    <row r="184" spans="1:5" x14ac:dyDescent="0.3">
      <c r="A184" t="s">
        <v>232</v>
      </c>
      <c r="B184" s="1"/>
      <c r="C184" s="1" t="s">
        <v>183</v>
      </c>
      <c r="D184" s="1">
        <v>2</v>
      </c>
      <c r="E184" s="1" t="s">
        <v>0</v>
      </c>
    </row>
    <row r="185" spans="1:5" x14ac:dyDescent="0.3">
      <c r="A185" t="s">
        <v>184</v>
      </c>
      <c r="B185" s="1"/>
      <c r="C185" s="1" t="s">
        <v>183</v>
      </c>
      <c r="D185" s="1" t="s">
        <v>169</v>
      </c>
      <c r="E185" s="1" t="s">
        <v>149</v>
      </c>
    </row>
    <row r="186" spans="1:5" x14ac:dyDescent="0.3">
      <c r="A186" t="s">
        <v>182</v>
      </c>
      <c r="B186" s="1"/>
      <c r="C186" s="1" t="s">
        <v>181</v>
      </c>
      <c r="D186" s="1" t="s">
        <v>169</v>
      </c>
      <c r="E186" s="1" t="s">
        <v>149</v>
      </c>
    </row>
    <row r="187" spans="1:5" x14ac:dyDescent="0.3">
      <c r="A187" t="s">
        <v>196</v>
      </c>
      <c r="B187" s="1"/>
      <c r="C187" s="1" t="s">
        <v>195</v>
      </c>
      <c r="D187" s="1">
        <v>2</v>
      </c>
      <c r="E187" s="1" t="s">
        <v>0</v>
      </c>
    </row>
    <row r="188" spans="1:5" x14ac:dyDescent="0.3">
      <c r="A188" t="s">
        <v>235</v>
      </c>
      <c r="B188" s="1"/>
      <c r="C188" s="1" t="s">
        <v>234</v>
      </c>
      <c r="D188" s="1">
        <v>2</v>
      </c>
      <c r="E188" s="1" t="s">
        <v>0</v>
      </c>
    </row>
    <row r="189" spans="1:5" x14ac:dyDescent="0.3">
      <c r="A189" t="s">
        <v>155</v>
      </c>
      <c r="B189" s="1"/>
      <c r="C189" s="1" t="s">
        <v>154</v>
      </c>
      <c r="D189" s="1">
        <v>1</v>
      </c>
      <c r="E189" s="1" t="s">
        <v>149</v>
      </c>
    </row>
    <row r="190" spans="1:5" x14ac:dyDescent="0.3">
      <c r="A190" t="s">
        <v>206</v>
      </c>
      <c r="B190" s="1"/>
      <c r="C190" s="1" t="s">
        <v>205</v>
      </c>
      <c r="D190" s="1">
        <v>2</v>
      </c>
      <c r="E190" s="1" t="s">
        <v>0</v>
      </c>
    </row>
  </sheetData>
  <dataConsolidate/>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049" r:id="rId4" name="txtSampleSearch">
          <controlPr defaultSize="0" autoLine="0" autoPict="0" linkedCell="A5" r:id="rId5">
            <anchor moveWithCells="1">
              <from>
                <xdr:col>0</xdr:col>
                <xdr:colOff>845820</xdr:colOff>
                <xdr:row>4</xdr:row>
                <xdr:rowOff>45720</xdr:rowOff>
              </from>
              <to>
                <xdr:col>1</xdr:col>
                <xdr:colOff>876300</xdr:colOff>
                <xdr:row>5</xdr:row>
                <xdr:rowOff>152400</xdr:rowOff>
              </to>
            </anchor>
          </controlPr>
        </control>
      </mc:Choice>
      <mc:Fallback>
        <control shapeId="2049" r:id="rId4" name="txtSampleSearch"/>
      </mc:Fallback>
    </mc:AlternateContent>
    <mc:AlternateContent xmlns:mc="http://schemas.openxmlformats.org/markup-compatibility/2006">
      <mc:Choice Requires="x14">
        <control shapeId="2050" r:id="rId6" name="OptBeginswith">
          <controlPr defaultSize="0" autoLine="0" r:id="rId7">
            <anchor moveWithCells="1">
              <from>
                <xdr:col>0</xdr:col>
                <xdr:colOff>304800</xdr:colOff>
                <xdr:row>6</xdr:row>
                <xdr:rowOff>121920</xdr:rowOff>
              </from>
              <to>
                <xdr:col>0</xdr:col>
                <xdr:colOff>1676400</xdr:colOff>
                <xdr:row>7</xdr:row>
                <xdr:rowOff>175260</xdr:rowOff>
              </to>
            </anchor>
          </controlPr>
        </control>
      </mc:Choice>
      <mc:Fallback>
        <control shapeId="2050" r:id="rId6" name="OptBeginswith"/>
      </mc:Fallback>
    </mc:AlternateContent>
    <mc:AlternateContent xmlns:mc="http://schemas.openxmlformats.org/markup-compatibility/2006">
      <mc:Choice Requires="x14">
        <control shapeId="2051" r:id="rId8" name="OptContains">
          <controlPr defaultSize="0" autoLine="0" r:id="rId9">
            <anchor moveWithCells="1">
              <from>
                <xdr:col>1</xdr:col>
                <xdr:colOff>83820</xdr:colOff>
                <xdr:row>6</xdr:row>
                <xdr:rowOff>144780</xdr:rowOff>
              </from>
              <to>
                <xdr:col>2</xdr:col>
                <xdr:colOff>571500</xdr:colOff>
                <xdr:row>8</xdr:row>
                <xdr:rowOff>15240</xdr:rowOff>
              </to>
            </anchor>
          </controlPr>
        </control>
      </mc:Choice>
      <mc:Fallback>
        <control shapeId="2051" r:id="rId8" name="OptContains"/>
      </mc:Fallback>
    </mc:AlternateContent>
  </controls>
  <tableParts count="1">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FE83B-CB3D-487C-91F9-165C75F6E4FB}">
  <sheetPr codeName="Sheet3">
    <tabColor rgb="FF92D050"/>
  </sheetPr>
  <dimension ref="A8:O191"/>
  <sheetViews>
    <sheetView showGridLines="0" showRowColHeaders="0" zoomScaleNormal="100" workbookViewId="0">
      <selection activeCell="F13" sqref="F13"/>
    </sheetView>
  </sheetViews>
  <sheetFormatPr defaultRowHeight="14.4" x14ac:dyDescent="0.3"/>
  <cols>
    <col min="1" max="1" width="27.44140625" customWidth="1"/>
    <col min="2" max="2" width="13.5546875" customWidth="1"/>
    <col min="3" max="3" width="13.6640625" customWidth="1"/>
    <col min="4" max="4" width="25.5546875" customWidth="1"/>
    <col min="5" max="5" width="22.5546875" customWidth="1"/>
    <col min="6" max="6" width="6.88671875" customWidth="1"/>
    <col min="8" max="8" width="22.6640625" customWidth="1"/>
    <col min="9" max="9" width="11.33203125" customWidth="1"/>
    <col min="10" max="10" width="11.44140625" customWidth="1"/>
    <col min="11" max="11" width="23.33203125" customWidth="1"/>
    <col min="12" max="12" width="20.33203125" customWidth="1"/>
    <col min="13" max="13" width="11.109375" customWidth="1"/>
    <col min="15" max="15" width="9.6640625" customWidth="1"/>
  </cols>
  <sheetData>
    <row r="8" spans="1:15" x14ac:dyDescent="0.3">
      <c r="H8" s="8" t="s">
        <v>312</v>
      </c>
      <c r="I8" s="7" t="s">
        <v>311</v>
      </c>
      <c r="J8" t="s">
        <v>311</v>
      </c>
      <c r="K8" t="s">
        <v>311</v>
      </c>
    </row>
    <row r="12" spans="1:15" x14ac:dyDescent="0.3">
      <c r="A12" s="2" t="s">
        <v>253</v>
      </c>
      <c r="H12" s="2" t="s">
        <v>253</v>
      </c>
      <c r="I12" s="2"/>
    </row>
    <row r="13" spans="1:15" x14ac:dyDescent="0.3">
      <c r="A13" s="2" t="s">
        <v>252</v>
      </c>
      <c r="B13" s="2" t="s">
        <v>254</v>
      </c>
      <c r="C13" s="2" t="s">
        <v>251</v>
      </c>
      <c r="D13" s="2" t="s">
        <v>250</v>
      </c>
      <c r="E13" s="2" t="s">
        <v>249</v>
      </c>
      <c r="H13" s="6" t="s">
        <v>252</v>
      </c>
      <c r="I13" s="6" t="s">
        <v>254</v>
      </c>
      <c r="J13" s="6" t="s">
        <v>251</v>
      </c>
      <c r="K13" s="6" t="s">
        <v>250</v>
      </c>
      <c r="L13" s="6" t="s">
        <v>249</v>
      </c>
      <c r="N13" s="5"/>
      <c r="O13" s="5"/>
    </row>
    <row r="14" spans="1:15" x14ac:dyDescent="0.3">
      <c r="A14" t="s">
        <v>148</v>
      </c>
      <c r="B14" s="1"/>
      <c r="C14" s="1" t="s">
        <v>147</v>
      </c>
      <c r="D14" s="1">
        <v>1</v>
      </c>
      <c r="E14" s="1" t="s">
        <v>0</v>
      </c>
      <c r="H14" t="str" cm="1">
        <f t="array" ref="H14">_xlfn._xlws.FILTER(Table63[#All],Table63[[#All],[Protocol Number]]=J8,"No Results Found")</f>
        <v>No Results Found</v>
      </c>
      <c r="I14" s="1"/>
      <c r="J14" s="1"/>
      <c r="K14" s="1"/>
      <c r="L14" s="1"/>
    </row>
    <row r="15" spans="1:15" x14ac:dyDescent="0.3">
      <c r="A15" t="s">
        <v>97</v>
      </c>
      <c r="B15" s="1"/>
      <c r="C15" s="1" t="s">
        <v>96</v>
      </c>
      <c r="D15" s="1">
        <v>1</v>
      </c>
      <c r="E15" s="1" t="s">
        <v>0</v>
      </c>
      <c r="I15" s="1"/>
      <c r="J15" s="1"/>
      <c r="K15" s="1"/>
      <c r="L15" s="1"/>
    </row>
    <row r="16" spans="1:15" x14ac:dyDescent="0.3">
      <c r="A16" t="s">
        <v>93</v>
      </c>
      <c r="B16" s="1"/>
      <c r="C16" s="1" t="s">
        <v>92</v>
      </c>
      <c r="D16" s="1">
        <v>1</v>
      </c>
      <c r="E16" s="1" t="s">
        <v>0</v>
      </c>
      <c r="I16" s="1"/>
      <c r="J16" s="1"/>
      <c r="K16" s="1"/>
      <c r="L16" s="1"/>
    </row>
    <row r="17" spans="1:12" x14ac:dyDescent="0.3">
      <c r="A17" t="s">
        <v>122</v>
      </c>
      <c r="B17" s="1"/>
      <c r="C17" s="1" t="s">
        <v>121</v>
      </c>
      <c r="D17" s="1">
        <v>1</v>
      </c>
      <c r="E17" s="1" t="s">
        <v>0</v>
      </c>
      <c r="I17" s="1"/>
      <c r="J17" s="1"/>
      <c r="K17" s="1"/>
      <c r="L17" s="1"/>
    </row>
    <row r="18" spans="1:12" x14ac:dyDescent="0.3">
      <c r="A18" t="s">
        <v>101</v>
      </c>
      <c r="B18" s="1"/>
      <c r="C18" s="1" t="s">
        <v>100</v>
      </c>
      <c r="D18" s="1">
        <v>1</v>
      </c>
      <c r="E18" s="1" t="s">
        <v>0</v>
      </c>
      <c r="I18" s="1"/>
      <c r="J18" s="1"/>
      <c r="K18" s="1"/>
      <c r="L18" s="1"/>
    </row>
    <row r="19" spans="1:12" x14ac:dyDescent="0.3">
      <c r="A19" t="s">
        <v>108</v>
      </c>
      <c r="B19" s="1"/>
      <c r="C19" s="1" t="s">
        <v>107</v>
      </c>
      <c r="D19" s="1">
        <v>1</v>
      </c>
      <c r="E19" s="1" t="s">
        <v>0</v>
      </c>
      <c r="I19" s="1"/>
      <c r="J19" s="1"/>
      <c r="K19" s="1"/>
      <c r="L19" s="1"/>
    </row>
    <row r="20" spans="1:12" x14ac:dyDescent="0.3">
      <c r="A20" t="s">
        <v>99</v>
      </c>
      <c r="B20" s="1"/>
      <c r="C20" s="1" t="s">
        <v>103</v>
      </c>
      <c r="D20" s="1">
        <v>1</v>
      </c>
      <c r="E20" s="1" t="s">
        <v>0</v>
      </c>
      <c r="I20" s="1"/>
      <c r="J20" s="1"/>
      <c r="K20" s="1"/>
      <c r="L20" s="1"/>
    </row>
    <row r="21" spans="1:12" x14ac:dyDescent="0.3">
      <c r="A21" t="s">
        <v>99</v>
      </c>
      <c r="B21" s="1"/>
      <c r="C21" s="1" t="s">
        <v>98</v>
      </c>
      <c r="D21" s="1">
        <v>1</v>
      </c>
      <c r="E21" s="1" t="s">
        <v>0</v>
      </c>
      <c r="I21" s="1"/>
      <c r="J21" s="1"/>
      <c r="K21" s="1"/>
      <c r="L21" s="1"/>
    </row>
    <row r="22" spans="1:12" x14ac:dyDescent="0.3">
      <c r="A22" t="s">
        <v>300</v>
      </c>
      <c r="B22" s="1" t="s">
        <v>68</v>
      </c>
      <c r="C22" s="1" t="s">
        <v>102</v>
      </c>
      <c r="D22" s="1">
        <v>1</v>
      </c>
      <c r="E22" s="1" t="s">
        <v>0</v>
      </c>
      <c r="I22" s="1"/>
      <c r="J22" s="1"/>
      <c r="K22" s="1"/>
      <c r="L22" s="1"/>
    </row>
    <row r="23" spans="1:12" x14ac:dyDescent="0.3">
      <c r="A23" t="s">
        <v>95</v>
      </c>
      <c r="B23" s="1"/>
      <c r="C23" s="1" t="s">
        <v>94</v>
      </c>
      <c r="D23" s="1">
        <v>1</v>
      </c>
      <c r="E23" s="1" t="s">
        <v>0</v>
      </c>
      <c r="I23" s="1"/>
      <c r="J23" s="1"/>
      <c r="K23" s="1"/>
      <c r="L23" s="1"/>
    </row>
    <row r="24" spans="1:12" x14ac:dyDescent="0.3">
      <c r="A24" t="s">
        <v>135</v>
      </c>
      <c r="B24" s="1"/>
      <c r="C24" s="1" t="s">
        <v>134</v>
      </c>
      <c r="D24" s="1">
        <v>1</v>
      </c>
      <c r="E24" s="1" t="s">
        <v>0</v>
      </c>
      <c r="I24" s="1"/>
      <c r="J24" s="1"/>
      <c r="K24" s="1"/>
      <c r="L24" s="1"/>
    </row>
    <row r="25" spans="1:12" x14ac:dyDescent="0.3">
      <c r="A25" t="s">
        <v>106</v>
      </c>
      <c r="B25" s="1"/>
      <c r="C25" s="1" t="s">
        <v>105</v>
      </c>
      <c r="D25" s="1">
        <v>1</v>
      </c>
      <c r="E25" s="1" t="s">
        <v>0</v>
      </c>
      <c r="I25" s="1"/>
      <c r="J25" s="1"/>
      <c r="K25" s="1"/>
      <c r="L25" s="1"/>
    </row>
    <row r="26" spans="1:12" x14ac:dyDescent="0.3">
      <c r="A26" t="s">
        <v>113</v>
      </c>
      <c r="B26" s="1"/>
      <c r="C26" s="1" t="s">
        <v>112</v>
      </c>
      <c r="D26" s="1">
        <v>1</v>
      </c>
      <c r="E26" s="1" t="s">
        <v>0</v>
      </c>
      <c r="I26" s="1"/>
      <c r="J26" s="1"/>
      <c r="K26" s="1"/>
      <c r="L26" s="1"/>
    </row>
    <row r="27" spans="1:12" x14ac:dyDescent="0.3">
      <c r="A27" t="s">
        <v>297</v>
      </c>
      <c r="B27" s="1" t="s">
        <v>68</v>
      </c>
      <c r="C27" s="1" t="s">
        <v>141</v>
      </c>
      <c r="D27" s="1">
        <v>1</v>
      </c>
      <c r="E27" s="1" t="s">
        <v>0</v>
      </c>
      <c r="I27" s="1"/>
      <c r="J27" s="1"/>
      <c r="K27" s="1"/>
      <c r="L27" s="1"/>
    </row>
    <row r="28" spans="1:12" x14ac:dyDescent="0.3">
      <c r="A28" t="s">
        <v>143</v>
      </c>
      <c r="B28" s="1"/>
      <c r="C28" s="1" t="s">
        <v>142</v>
      </c>
      <c r="D28" s="1">
        <v>1</v>
      </c>
      <c r="E28" s="1" t="s">
        <v>0</v>
      </c>
      <c r="I28" s="1"/>
      <c r="J28" s="1"/>
      <c r="K28" s="1"/>
      <c r="L28" s="1"/>
    </row>
    <row r="29" spans="1:12" x14ac:dyDescent="0.3">
      <c r="A29" t="s">
        <v>301</v>
      </c>
      <c r="B29" s="1" t="s">
        <v>50</v>
      </c>
      <c r="C29" s="1" t="s">
        <v>120</v>
      </c>
      <c r="D29" s="1">
        <v>1</v>
      </c>
      <c r="E29" s="1" t="s">
        <v>0</v>
      </c>
      <c r="I29" s="1"/>
      <c r="J29" s="1"/>
      <c r="K29" s="1"/>
      <c r="L29" s="1"/>
    </row>
    <row r="30" spans="1:12" x14ac:dyDescent="0.3">
      <c r="A30" t="s">
        <v>298</v>
      </c>
      <c r="B30" s="1" t="s">
        <v>90</v>
      </c>
      <c r="C30" s="1" t="s">
        <v>145</v>
      </c>
      <c r="D30" s="1">
        <v>1</v>
      </c>
      <c r="E30" s="1" t="s">
        <v>0</v>
      </c>
      <c r="I30" s="1"/>
      <c r="J30" s="1"/>
      <c r="K30" s="1"/>
      <c r="L30" s="1"/>
    </row>
    <row r="31" spans="1:12" x14ac:dyDescent="0.3">
      <c r="A31" t="s">
        <v>302</v>
      </c>
      <c r="B31" s="1" t="s">
        <v>152</v>
      </c>
      <c r="C31" s="1" t="s">
        <v>125</v>
      </c>
      <c r="D31" s="1">
        <v>1</v>
      </c>
      <c r="E31" s="1" t="s">
        <v>0</v>
      </c>
      <c r="I31" s="1"/>
      <c r="J31" s="1"/>
      <c r="K31" s="1"/>
      <c r="L31" s="1"/>
    </row>
    <row r="32" spans="1:12" x14ac:dyDescent="0.3">
      <c r="A32" t="s">
        <v>110</v>
      </c>
      <c r="B32" s="1"/>
      <c r="C32" s="1" t="s">
        <v>109</v>
      </c>
      <c r="D32" s="1">
        <v>1</v>
      </c>
      <c r="E32" s="1" t="s">
        <v>0</v>
      </c>
      <c r="I32" s="1"/>
      <c r="J32" s="1"/>
      <c r="K32" s="1"/>
      <c r="L32" s="1"/>
    </row>
    <row r="33" spans="1:12" x14ac:dyDescent="0.3">
      <c r="A33" t="s">
        <v>303</v>
      </c>
      <c r="B33" s="1" t="s">
        <v>186</v>
      </c>
      <c r="C33" s="1" t="s">
        <v>144</v>
      </c>
      <c r="D33" s="1">
        <v>1</v>
      </c>
      <c r="E33" s="1" t="s">
        <v>0</v>
      </c>
      <c r="I33" s="1"/>
      <c r="J33" s="1"/>
      <c r="K33" s="1"/>
      <c r="L33" s="1"/>
    </row>
    <row r="34" spans="1:12" x14ac:dyDescent="0.3">
      <c r="A34" t="s">
        <v>304</v>
      </c>
      <c r="B34" s="1" t="s">
        <v>260</v>
      </c>
      <c r="C34" s="1" t="s">
        <v>111</v>
      </c>
      <c r="D34" s="1">
        <v>1</v>
      </c>
      <c r="E34" s="1" t="s">
        <v>0</v>
      </c>
      <c r="I34" s="1"/>
      <c r="J34" s="1"/>
      <c r="K34" s="1"/>
      <c r="L34" s="1"/>
    </row>
    <row r="35" spans="1:12" x14ac:dyDescent="0.3">
      <c r="A35" t="s">
        <v>115</v>
      </c>
      <c r="B35" s="1"/>
      <c r="C35" s="1" t="s">
        <v>114</v>
      </c>
      <c r="D35" s="1">
        <v>1</v>
      </c>
      <c r="E35" s="1" t="s">
        <v>0</v>
      </c>
      <c r="I35" s="1"/>
      <c r="J35" s="1"/>
      <c r="K35" s="1"/>
      <c r="L35" s="1"/>
    </row>
    <row r="36" spans="1:12" x14ac:dyDescent="0.3">
      <c r="A36" t="s">
        <v>115</v>
      </c>
      <c r="B36" s="1" t="s">
        <v>227</v>
      </c>
      <c r="C36" s="1" t="s">
        <v>114</v>
      </c>
      <c r="D36" s="1">
        <v>1</v>
      </c>
      <c r="E36" s="1" t="s">
        <v>0</v>
      </c>
      <c r="I36" s="1"/>
      <c r="J36" s="1"/>
      <c r="K36" s="1"/>
      <c r="L36" s="1"/>
    </row>
    <row r="37" spans="1:12" x14ac:dyDescent="0.3">
      <c r="A37" t="s">
        <v>299</v>
      </c>
      <c r="B37" s="1" t="s">
        <v>257</v>
      </c>
      <c r="C37" s="1" t="s">
        <v>123</v>
      </c>
      <c r="D37" s="1">
        <v>1</v>
      </c>
      <c r="E37" s="1" t="s">
        <v>0</v>
      </c>
      <c r="I37" s="1"/>
      <c r="J37" s="1"/>
      <c r="K37" s="1"/>
      <c r="L37" s="1"/>
    </row>
    <row r="38" spans="1:12" x14ac:dyDescent="0.3">
      <c r="A38" t="s">
        <v>171</v>
      </c>
      <c r="B38" s="1"/>
      <c r="C38" s="1" t="s">
        <v>170</v>
      </c>
      <c r="D38" s="1" t="s">
        <v>169</v>
      </c>
      <c r="E38" s="1" t="s">
        <v>149</v>
      </c>
      <c r="I38" s="1"/>
      <c r="J38" s="1"/>
      <c r="K38" s="1"/>
      <c r="L38" s="1"/>
    </row>
    <row r="39" spans="1:12" x14ac:dyDescent="0.3">
      <c r="A39" t="s">
        <v>305</v>
      </c>
      <c r="B39" s="1" t="s">
        <v>261</v>
      </c>
      <c r="C39" s="1" t="s">
        <v>104</v>
      </c>
      <c r="D39" s="1">
        <v>1</v>
      </c>
      <c r="E39" s="1" t="s">
        <v>0</v>
      </c>
      <c r="I39" s="1"/>
      <c r="J39" s="1"/>
      <c r="K39" s="1"/>
      <c r="L39" s="1"/>
    </row>
    <row r="40" spans="1:12" x14ac:dyDescent="0.3">
      <c r="A40" t="s">
        <v>117</v>
      </c>
      <c r="B40" s="1"/>
      <c r="C40" s="1" t="s">
        <v>116</v>
      </c>
      <c r="D40" s="1">
        <v>1</v>
      </c>
      <c r="E40" s="1" t="s">
        <v>0</v>
      </c>
    </row>
    <row r="41" spans="1:12" x14ac:dyDescent="0.3">
      <c r="A41" t="s">
        <v>139</v>
      </c>
      <c r="B41" s="1"/>
      <c r="C41" s="1" t="s">
        <v>138</v>
      </c>
      <c r="D41" s="1">
        <v>1</v>
      </c>
      <c r="E41" s="1" t="s">
        <v>0</v>
      </c>
    </row>
    <row r="42" spans="1:12" x14ac:dyDescent="0.3">
      <c r="A42" t="s">
        <v>306</v>
      </c>
      <c r="B42" s="1" t="s">
        <v>208</v>
      </c>
      <c r="C42" s="1" t="s">
        <v>140</v>
      </c>
      <c r="D42" s="1">
        <v>1</v>
      </c>
      <c r="E42" s="1" t="s">
        <v>0</v>
      </c>
    </row>
    <row r="43" spans="1:12" x14ac:dyDescent="0.3">
      <c r="A43" t="s">
        <v>307</v>
      </c>
      <c r="B43" s="1" t="s">
        <v>259</v>
      </c>
      <c r="C43" s="1" t="s">
        <v>118</v>
      </c>
      <c r="D43" s="1">
        <v>1</v>
      </c>
      <c r="E43" s="1" t="s">
        <v>0</v>
      </c>
    </row>
    <row r="44" spans="1:12" x14ac:dyDescent="0.3">
      <c r="A44" t="s">
        <v>129</v>
      </c>
      <c r="B44" s="1"/>
      <c r="C44" s="1" t="s">
        <v>128</v>
      </c>
      <c r="D44" s="1">
        <v>1</v>
      </c>
      <c r="E44" s="1" t="s">
        <v>0</v>
      </c>
    </row>
    <row r="45" spans="1:12" x14ac:dyDescent="0.3">
      <c r="A45" t="s">
        <v>133</v>
      </c>
      <c r="B45" s="1"/>
      <c r="C45" s="1" t="s">
        <v>132</v>
      </c>
      <c r="D45" s="1">
        <v>1</v>
      </c>
      <c r="E45" s="1" t="s">
        <v>0</v>
      </c>
    </row>
    <row r="46" spans="1:12" x14ac:dyDescent="0.3">
      <c r="A46" t="s">
        <v>131</v>
      </c>
      <c r="B46" s="1"/>
      <c r="C46" s="1" t="s">
        <v>130</v>
      </c>
      <c r="D46" s="1">
        <v>1</v>
      </c>
      <c r="E46" s="1" t="s">
        <v>0</v>
      </c>
    </row>
    <row r="47" spans="1:12" x14ac:dyDescent="0.3">
      <c r="A47" t="s">
        <v>127</v>
      </c>
      <c r="B47" s="1"/>
      <c r="C47" s="1" t="s">
        <v>126</v>
      </c>
      <c r="D47" s="1">
        <v>1</v>
      </c>
      <c r="E47" s="1" t="s">
        <v>0</v>
      </c>
    </row>
    <row r="48" spans="1:12" x14ac:dyDescent="0.3">
      <c r="A48" t="s">
        <v>137</v>
      </c>
      <c r="B48" s="1"/>
      <c r="C48" s="1" t="s">
        <v>136</v>
      </c>
      <c r="D48" s="1">
        <v>1</v>
      </c>
      <c r="E48" s="1" t="s">
        <v>0</v>
      </c>
    </row>
    <row r="49" spans="1:5" x14ac:dyDescent="0.3">
      <c r="A49" t="s">
        <v>308</v>
      </c>
      <c r="B49" s="1" t="s">
        <v>256</v>
      </c>
      <c r="C49" s="1" t="s">
        <v>124</v>
      </c>
      <c r="D49" s="1">
        <v>1</v>
      </c>
      <c r="E49" s="1" t="s">
        <v>0</v>
      </c>
    </row>
    <row r="50" spans="1:5" x14ac:dyDescent="0.3">
      <c r="A50" t="s">
        <v>313</v>
      </c>
      <c r="B50" s="1" t="s">
        <v>258</v>
      </c>
      <c r="C50" s="1" t="s">
        <v>119</v>
      </c>
      <c r="D50" s="1">
        <v>1</v>
      </c>
      <c r="E50" s="1" t="s">
        <v>0</v>
      </c>
    </row>
    <row r="51" spans="1:5" x14ac:dyDescent="0.3">
      <c r="A51" t="s">
        <v>309</v>
      </c>
      <c r="B51" s="1" t="s">
        <v>235</v>
      </c>
      <c r="C51" s="1" t="s">
        <v>91</v>
      </c>
      <c r="D51" s="1">
        <v>1</v>
      </c>
      <c r="E51" s="1" t="s">
        <v>0</v>
      </c>
    </row>
    <row r="52" spans="1:5" x14ac:dyDescent="0.3">
      <c r="A52" t="s">
        <v>310</v>
      </c>
      <c r="B52" s="1" t="s">
        <v>255</v>
      </c>
      <c r="C52" s="1" t="s">
        <v>146</v>
      </c>
      <c r="D52" s="1">
        <v>1</v>
      </c>
      <c r="E52" s="1" t="s">
        <v>0</v>
      </c>
    </row>
    <row r="53" spans="1:5" x14ac:dyDescent="0.3">
      <c r="A53" t="s">
        <v>180</v>
      </c>
      <c r="B53" s="1"/>
      <c r="C53" s="1" t="s">
        <v>179</v>
      </c>
      <c r="D53" s="1" t="s">
        <v>169</v>
      </c>
      <c r="E53" s="1" t="s">
        <v>149</v>
      </c>
    </row>
    <row r="54" spans="1:5" x14ac:dyDescent="0.3">
      <c r="A54" t="s">
        <v>25</v>
      </c>
      <c r="B54" s="1"/>
      <c r="C54" s="1" t="s">
        <v>24</v>
      </c>
      <c r="D54" s="1">
        <v>4</v>
      </c>
      <c r="E54" s="1" t="s">
        <v>0</v>
      </c>
    </row>
    <row r="55" spans="1:5" x14ac:dyDescent="0.3">
      <c r="A55" t="s">
        <v>14</v>
      </c>
      <c r="B55" s="1"/>
      <c r="C55" s="1" t="s">
        <v>23</v>
      </c>
      <c r="D55" s="1">
        <v>4</v>
      </c>
      <c r="E55" s="1" t="s">
        <v>0</v>
      </c>
    </row>
    <row r="56" spans="1:5" x14ac:dyDescent="0.3">
      <c r="A56" t="s">
        <v>14</v>
      </c>
      <c r="B56" s="1"/>
      <c r="C56" s="1" t="s">
        <v>13</v>
      </c>
      <c r="D56" s="1">
        <v>4</v>
      </c>
      <c r="E56" s="1" t="s">
        <v>0</v>
      </c>
    </row>
    <row r="57" spans="1:5" x14ac:dyDescent="0.3">
      <c r="A57" t="s">
        <v>18</v>
      </c>
      <c r="B57" s="1"/>
      <c r="C57" s="1" t="s">
        <v>19</v>
      </c>
      <c r="D57" s="1">
        <v>4</v>
      </c>
      <c r="E57" s="1" t="s">
        <v>0</v>
      </c>
    </row>
    <row r="58" spans="1:5" x14ac:dyDescent="0.3">
      <c r="A58" t="s">
        <v>18</v>
      </c>
      <c r="B58" s="1"/>
      <c r="C58" s="1" t="s">
        <v>17</v>
      </c>
      <c r="D58" s="1">
        <v>4</v>
      </c>
      <c r="E58" s="1" t="s">
        <v>0</v>
      </c>
    </row>
    <row r="59" spans="1:5" x14ac:dyDescent="0.3">
      <c r="A59" t="s">
        <v>21</v>
      </c>
      <c r="B59" s="1"/>
      <c r="C59" s="1" t="s">
        <v>22</v>
      </c>
      <c r="D59" s="1">
        <v>4</v>
      </c>
      <c r="E59" s="1" t="s">
        <v>0</v>
      </c>
    </row>
    <row r="60" spans="1:5" x14ac:dyDescent="0.3">
      <c r="A60" t="s">
        <v>21</v>
      </c>
      <c r="B60" s="1"/>
      <c r="C60" s="1" t="s">
        <v>20</v>
      </c>
      <c r="D60" s="1">
        <v>4</v>
      </c>
      <c r="E60" s="1" t="s">
        <v>0</v>
      </c>
    </row>
    <row r="61" spans="1:5" x14ac:dyDescent="0.3">
      <c r="A61" t="s">
        <v>16</v>
      </c>
      <c r="B61" s="1"/>
      <c r="C61" s="1" t="s">
        <v>15</v>
      </c>
      <c r="D61" s="1">
        <v>4</v>
      </c>
      <c r="E61" s="1" t="s">
        <v>0</v>
      </c>
    </row>
    <row r="62" spans="1:5" x14ac:dyDescent="0.3">
      <c r="A62" t="s">
        <v>58</v>
      </c>
      <c r="B62" s="1"/>
      <c r="C62" s="1" t="s">
        <v>79</v>
      </c>
      <c r="D62" s="1">
        <v>3</v>
      </c>
      <c r="E62" s="1" t="s">
        <v>0</v>
      </c>
    </row>
    <row r="63" spans="1:5" x14ac:dyDescent="0.3">
      <c r="A63" t="s">
        <v>58</v>
      </c>
      <c r="B63" s="1"/>
      <c r="C63" s="1" t="s">
        <v>57</v>
      </c>
      <c r="D63" s="1">
        <v>3</v>
      </c>
      <c r="E63" s="1" t="s">
        <v>0</v>
      </c>
    </row>
    <row r="64" spans="1:5" x14ac:dyDescent="0.3">
      <c r="A64" t="s">
        <v>74</v>
      </c>
      <c r="B64" s="1"/>
      <c r="C64" s="1" t="s">
        <v>76</v>
      </c>
      <c r="D64" s="1">
        <v>3</v>
      </c>
      <c r="E64" s="1" t="s">
        <v>0</v>
      </c>
    </row>
    <row r="65" spans="1:5" x14ac:dyDescent="0.3">
      <c r="A65" t="s">
        <v>74</v>
      </c>
      <c r="B65" s="1"/>
      <c r="C65" s="1" t="s">
        <v>73</v>
      </c>
      <c r="D65" s="1">
        <v>3</v>
      </c>
      <c r="E65" s="1" t="s">
        <v>0</v>
      </c>
    </row>
    <row r="66" spans="1:5" x14ac:dyDescent="0.3">
      <c r="A66" t="s">
        <v>66</v>
      </c>
      <c r="B66" s="1"/>
      <c r="C66" s="1" t="s">
        <v>78</v>
      </c>
      <c r="D66" s="1">
        <v>3</v>
      </c>
      <c r="E66" s="1" t="s">
        <v>0</v>
      </c>
    </row>
    <row r="67" spans="1:5" x14ac:dyDescent="0.3">
      <c r="A67" t="s">
        <v>66</v>
      </c>
      <c r="B67" s="1"/>
      <c r="C67" s="1" t="s">
        <v>65</v>
      </c>
      <c r="D67" s="1">
        <v>3</v>
      </c>
      <c r="E67" s="1" t="s">
        <v>0</v>
      </c>
    </row>
    <row r="68" spans="1:5" x14ac:dyDescent="0.3">
      <c r="A68" t="s">
        <v>81</v>
      </c>
      <c r="B68" s="1"/>
      <c r="C68" s="1" t="s">
        <v>80</v>
      </c>
      <c r="D68" s="1">
        <v>3</v>
      </c>
      <c r="E68" s="1" t="s">
        <v>0</v>
      </c>
    </row>
    <row r="69" spans="1:5" x14ac:dyDescent="0.3">
      <c r="A69" t="s">
        <v>62</v>
      </c>
      <c r="B69" s="1"/>
      <c r="C69" s="1" t="s">
        <v>77</v>
      </c>
      <c r="D69" s="1">
        <v>3</v>
      </c>
      <c r="E69" s="1" t="s">
        <v>0</v>
      </c>
    </row>
    <row r="70" spans="1:5" x14ac:dyDescent="0.3">
      <c r="A70" t="s">
        <v>62</v>
      </c>
      <c r="B70" s="1"/>
      <c r="C70" s="1" t="s">
        <v>75</v>
      </c>
      <c r="D70" s="1">
        <v>3</v>
      </c>
      <c r="E70" s="1" t="s">
        <v>0</v>
      </c>
    </row>
    <row r="71" spans="1:5" x14ac:dyDescent="0.3">
      <c r="A71" t="s">
        <v>62</v>
      </c>
      <c r="B71" s="1"/>
      <c r="C71" s="1" t="s">
        <v>61</v>
      </c>
      <c r="D71" s="1">
        <v>3</v>
      </c>
      <c r="E71" s="1" t="s">
        <v>0</v>
      </c>
    </row>
    <row r="72" spans="1:5" x14ac:dyDescent="0.3">
      <c r="A72" t="s">
        <v>262</v>
      </c>
      <c r="B72" s="1"/>
      <c r="C72" s="1" t="s">
        <v>56</v>
      </c>
      <c r="D72" s="1">
        <v>3</v>
      </c>
      <c r="E72" s="1" t="s">
        <v>0</v>
      </c>
    </row>
    <row r="73" spans="1:5" x14ac:dyDescent="0.3">
      <c r="A73" t="s">
        <v>263</v>
      </c>
      <c r="B73" s="1"/>
      <c r="C73" s="1" t="s">
        <v>56</v>
      </c>
      <c r="D73" s="1">
        <v>3</v>
      </c>
      <c r="E73" s="1" t="s">
        <v>0</v>
      </c>
    </row>
    <row r="74" spans="1:5" x14ac:dyDescent="0.3">
      <c r="A74" t="s">
        <v>84</v>
      </c>
      <c r="B74" s="1"/>
      <c r="C74" s="1" t="s">
        <v>83</v>
      </c>
      <c r="D74" s="1">
        <v>3</v>
      </c>
      <c r="E74" s="1" t="s">
        <v>0</v>
      </c>
    </row>
    <row r="75" spans="1:5" x14ac:dyDescent="0.3">
      <c r="A75" t="s">
        <v>64</v>
      </c>
      <c r="B75" s="1"/>
      <c r="C75" s="1" t="s">
        <v>63</v>
      </c>
      <c r="D75" s="1">
        <v>3</v>
      </c>
      <c r="E75" s="1" t="s">
        <v>0</v>
      </c>
    </row>
    <row r="76" spans="1:5" x14ac:dyDescent="0.3">
      <c r="A76" t="s">
        <v>220</v>
      </c>
      <c r="B76" s="1"/>
      <c r="C76" s="1" t="s">
        <v>219</v>
      </c>
      <c r="D76" s="1">
        <v>2</v>
      </c>
      <c r="E76" s="1" t="s">
        <v>0</v>
      </c>
    </row>
    <row r="77" spans="1:5" x14ac:dyDescent="0.3">
      <c r="A77" t="s">
        <v>53</v>
      </c>
      <c r="B77" s="1"/>
      <c r="C77" s="1" t="s">
        <v>52</v>
      </c>
      <c r="D77" s="1">
        <v>3</v>
      </c>
      <c r="E77" s="1" t="s">
        <v>0</v>
      </c>
    </row>
    <row r="78" spans="1:5" x14ac:dyDescent="0.3">
      <c r="A78" t="s">
        <v>47</v>
      </c>
      <c r="B78" s="1"/>
      <c r="C78" s="1" t="s">
        <v>51</v>
      </c>
      <c r="D78" s="1">
        <v>3</v>
      </c>
      <c r="E78" s="1" t="s">
        <v>0</v>
      </c>
    </row>
    <row r="79" spans="1:5" x14ac:dyDescent="0.3">
      <c r="A79" t="s">
        <v>47</v>
      </c>
      <c r="B79" s="1"/>
      <c r="C79" s="1" t="s">
        <v>46</v>
      </c>
      <c r="D79" s="1">
        <v>3</v>
      </c>
      <c r="E79" s="1" t="s">
        <v>0</v>
      </c>
    </row>
    <row r="80" spans="1:5" x14ac:dyDescent="0.3">
      <c r="A80" t="s">
        <v>39</v>
      </c>
      <c r="B80" s="1"/>
      <c r="C80" s="1" t="s">
        <v>38</v>
      </c>
      <c r="D80" s="1">
        <v>3</v>
      </c>
      <c r="E80" s="1" t="s">
        <v>0</v>
      </c>
    </row>
    <row r="81" spans="1:5" x14ac:dyDescent="0.3">
      <c r="A81" t="s">
        <v>43</v>
      </c>
      <c r="B81" s="1"/>
      <c r="C81" s="1" t="s">
        <v>42</v>
      </c>
      <c r="D81" s="1">
        <v>3</v>
      </c>
      <c r="E81" s="1" t="s">
        <v>0</v>
      </c>
    </row>
    <row r="82" spans="1:5" x14ac:dyDescent="0.3">
      <c r="A82" t="s">
        <v>35</v>
      </c>
      <c r="B82" s="1"/>
      <c r="C82" s="1" t="s">
        <v>34</v>
      </c>
      <c r="D82" s="1">
        <v>3</v>
      </c>
      <c r="E82" s="1" t="s">
        <v>0</v>
      </c>
    </row>
    <row r="83" spans="1:5" x14ac:dyDescent="0.3">
      <c r="A83" t="s">
        <v>33</v>
      </c>
      <c r="B83" s="1"/>
      <c r="C83" s="1" t="s">
        <v>32</v>
      </c>
      <c r="D83" s="1">
        <v>3</v>
      </c>
      <c r="E83" s="1" t="s">
        <v>0</v>
      </c>
    </row>
    <row r="84" spans="1:5" x14ac:dyDescent="0.3">
      <c r="A84" t="s">
        <v>55</v>
      </c>
      <c r="B84" s="1"/>
      <c r="C84" s="1" t="s">
        <v>54</v>
      </c>
      <c r="D84" s="1">
        <v>3</v>
      </c>
      <c r="E84" s="1" t="s">
        <v>0</v>
      </c>
    </row>
    <row r="85" spans="1:5" x14ac:dyDescent="0.3">
      <c r="A85" t="s">
        <v>45</v>
      </c>
      <c r="B85" s="1"/>
      <c r="C85" s="1" t="s">
        <v>44</v>
      </c>
      <c r="D85" s="1">
        <v>3</v>
      </c>
      <c r="E85" s="1" t="s">
        <v>0</v>
      </c>
    </row>
    <row r="86" spans="1:5" x14ac:dyDescent="0.3">
      <c r="A86" t="s">
        <v>50</v>
      </c>
      <c r="B86" s="1"/>
      <c r="C86" s="1" t="s">
        <v>49</v>
      </c>
      <c r="D86" s="1">
        <v>3</v>
      </c>
      <c r="E86" s="1" t="s">
        <v>0</v>
      </c>
    </row>
    <row r="87" spans="1:5" x14ac:dyDescent="0.3">
      <c r="A87" t="s">
        <v>72</v>
      </c>
      <c r="B87" s="1"/>
      <c r="C87" s="1" t="s">
        <v>71</v>
      </c>
      <c r="D87" s="1">
        <v>3</v>
      </c>
      <c r="E87" s="1" t="s">
        <v>0</v>
      </c>
    </row>
    <row r="88" spans="1:5" x14ac:dyDescent="0.3">
      <c r="A88" t="s">
        <v>41</v>
      </c>
      <c r="B88" s="1"/>
      <c r="C88" s="1" t="s">
        <v>40</v>
      </c>
      <c r="D88" s="1">
        <v>3</v>
      </c>
      <c r="E88" s="1" t="s">
        <v>0</v>
      </c>
    </row>
    <row r="89" spans="1:5" x14ac:dyDescent="0.3">
      <c r="A89" t="s">
        <v>86</v>
      </c>
      <c r="B89" s="1"/>
      <c r="C89" s="1" t="s">
        <v>85</v>
      </c>
      <c r="D89" s="1">
        <v>3</v>
      </c>
      <c r="E89" s="1" t="s">
        <v>0</v>
      </c>
    </row>
    <row r="90" spans="1:5" x14ac:dyDescent="0.3">
      <c r="A90" t="s">
        <v>31</v>
      </c>
      <c r="B90" s="1"/>
      <c r="C90" s="1" t="s">
        <v>150</v>
      </c>
      <c r="D90" s="1">
        <v>1</v>
      </c>
      <c r="E90" s="1" t="s">
        <v>149</v>
      </c>
    </row>
    <row r="91" spans="1:5" x14ac:dyDescent="0.3">
      <c r="A91" t="s">
        <v>31</v>
      </c>
      <c r="B91" s="1"/>
      <c r="C91" s="1" t="s">
        <v>30</v>
      </c>
      <c r="D91" s="1">
        <v>3</v>
      </c>
      <c r="E91" s="1" t="s">
        <v>0</v>
      </c>
    </row>
    <row r="92" spans="1:5" x14ac:dyDescent="0.3">
      <c r="A92" t="s">
        <v>37</v>
      </c>
      <c r="B92" s="1"/>
      <c r="C92" s="1" t="s">
        <v>48</v>
      </c>
      <c r="D92" s="1">
        <v>3</v>
      </c>
      <c r="E92" s="1" t="s">
        <v>0</v>
      </c>
    </row>
    <row r="93" spans="1:5" x14ac:dyDescent="0.3">
      <c r="A93" t="s">
        <v>37</v>
      </c>
      <c r="B93" s="1"/>
      <c r="C93" s="1" t="s">
        <v>36</v>
      </c>
      <c r="D93" s="1">
        <v>3</v>
      </c>
      <c r="E93" s="1" t="s">
        <v>0</v>
      </c>
    </row>
    <row r="94" spans="1:5" x14ac:dyDescent="0.3">
      <c r="A94" t="s">
        <v>173</v>
      </c>
      <c r="B94" s="1"/>
      <c r="C94" s="1" t="s">
        <v>172</v>
      </c>
      <c r="D94" s="1" t="s">
        <v>169</v>
      </c>
      <c r="E94" s="1" t="s">
        <v>149</v>
      </c>
    </row>
    <row r="95" spans="1:5" x14ac:dyDescent="0.3">
      <c r="A95" t="s">
        <v>60</v>
      </c>
      <c r="B95" s="1"/>
      <c r="C95" s="1" t="s">
        <v>82</v>
      </c>
      <c r="D95" s="1">
        <v>3</v>
      </c>
      <c r="E95" s="1" t="s">
        <v>0</v>
      </c>
    </row>
    <row r="96" spans="1:5" x14ac:dyDescent="0.3">
      <c r="A96" t="s">
        <v>60</v>
      </c>
      <c r="B96" s="1"/>
      <c r="C96" s="1" t="s">
        <v>59</v>
      </c>
      <c r="D96" s="1">
        <v>3</v>
      </c>
      <c r="E96" s="1" t="s">
        <v>0</v>
      </c>
    </row>
    <row r="97" spans="1:5" x14ac:dyDescent="0.3">
      <c r="A97" t="s">
        <v>60</v>
      </c>
      <c r="B97" s="1"/>
      <c r="C97" s="1" t="s">
        <v>280</v>
      </c>
      <c r="D97" s="1">
        <v>5</v>
      </c>
      <c r="E97" s="1" t="s">
        <v>0</v>
      </c>
    </row>
    <row r="98" spans="1:5" x14ac:dyDescent="0.3">
      <c r="A98" t="s">
        <v>68</v>
      </c>
      <c r="B98" s="1"/>
      <c r="C98" s="1" t="s">
        <v>153</v>
      </c>
      <c r="D98" s="1">
        <v>1</v>
      </c>
      <c r="E98" s="1" t="s">
        <v>149</v>
      </c>
    </row>
    <row r="99" spans="1:5" x14ac:dyDescent="0.3">
      <c r="A99" t="s">
        <v>68</v>
      </c>
      <c r="B99" s="1"/>
      <c r="C99" s="1" t="s">
        <v>67</v>
      </c>
      <c r="D99" s="1">
        <v>3</v>
      </c>
      <c r="E99" s="1" t="s">
        <v>0</v>
      </c>
    </row>
    <row r="100" spans="1:5" x14ac:dyDescent="0.3">
      <c r="A100" t="s">
        <v>176</v>
      </c>
      <c r="B100" s="1"/>
      <c r="C100" s="1" t="s">
        <v>175</v>
      </c>
      <c r="D100" s="1" t="s">
        <v>169</v>
      </c>
      <c r="E100" s="1" t="s">
        <v>149</v>
      </c>
    </row>
    <row r="101" spans="1:5" x14ac:dyDescent="0.3">
      <c r="A101" t="s">
        <v>29</v>
      </c>
      <c r="B101" s="1"/>
      <c r="C101" s="1" t="s">
        <v>28</v>
      </c>
      <c r="D101" s="1">
        <v>3</v>
      </c>
      <c r="E101" s="1" t="s">
        <v>0</v>
      </c>
    </row>
    <row r="102" spans="1:5" x14ac:dyDescent="0.3">
      <c r="A102" t="s">
        <v>90</v>
      </c>
      <c r="B102" s="1"/>
      <c r="C102" s="1" t="s">
        <v>89</v>
      </c>
      <c r="D102" s="1">
        <v>3</v>
      </c>
      <c r="E102" s="1" t="s">
        <v>0</v>
      </c>
    </row>
    <row r="103" spans="1:5" x14ac:dyDescent="0.3">
      <c r="A103" t="s">
        <v>27</v>
      </c>
      <c r="B103" s="1"/>
      <c r="C103" s="1" t="s">
        <v>26</v>
      </c>
      <c r="D103" s="1">
        <v>4</v>
      </c>
      <c r="E103" s="1" t="s">
        <v>0</v>
      </c>
    </row>
    <row r="104" spans="1:5" x14ac:dyDescent="0.3">
      <c r="A104" t="s">
        <v>229</v>
      </c>
      <c r="B104" s="1"/>
      <c r="C104" s="1" t="s">
        <v>228</v>
      </c>
      <c r="D104" s="1">
        <v>2</v>
      </c>
      <c r="E104" s="1" t="s">
        <v>0</v>
      </c>
    </row>
    <row r="105" spans="1:5" x14ac:dyDescent="0.3">
      <c r="A105" t="s">
        <v>229</v>
      </c>
      <c r="B105" s="1"/>
      <c r="C105" s="1" t="s">
        <v>273</v>
      </c>
      <c r="D105" s="1">
        <v>5</v>
      </c>
      <c r="E105" s="1" t="s">
        <v>0</v>
      </c>
    </row>
    <row r="106" spans="1:5" x14ac:dyDescent="0.3">
      <c r="A106" t="s">
        <v>70</v>
      </c>
      <c r="B106" s="1"/>
      <c r="C106" s="1" t="s">
        <v>69</v>
      </c>
      <c r="D106" s="1">
        <v>3</v>
      </c>
      <c r="E106" s="1" t="s">
        <v>0</v>
      </c>
    </row>
    <row r="107" spans="1:5" x14ac:dyDescent="0.3">
      <c r="A107" t="s">
        <v>227</v>
      </c>
      <c r="B107" s="1"/>
      <c r="C107" s="1" t="s">
        <v>177</v>
      </c>
      <c r="D107" s="1">
        <v>2</v>
      </c>
      <c r="E107" s="1" t="s">
        <v>0</v>
      </c>
    </row>
    <row r="108" spans="1:5" x14ac:dyDescent="0.3">
      <c r="A108" t="s">
        <v>178</v>
      </c>
      <c r="B108" s="1"/>
      <c r="C108" s="1" t="s">
        <v>177</v>
      </c>
      <c r="D108" s="1" t="s">
        <v>169</v>
      </c>
      <c r="E108" s="1" t="s">
        <v>149</v>
      </c>
    </row>
    <row r="109" spans="1:5" x14ac:dyDescent="0.3">
      <c r="A109" t="s">
        <v>198</v>
      </c>
      <c r="B109" s="1"/>
      <c r="C109" s="1" t="s">
        <v>197</v>
      </c>
      <c r="D109" s="1">
        <v>2</v>
      </c>
      <c r="E109" s="1" t="s">
        <v>0</v>
      </c>
    </row>
    <row r="110" spans="1:5" x14ac:dyDescent="0.3">
      <c r="A110" t="s">
        <v>198</v>
      </c>
      <c r="B110" s="1"/>
      <c r="C110" s="1" t="s">
        <v>279</v>
      </c>
      <c r="D110" s="1">
        <v>5</v>
      </c>
      <c r="E110" s="1" t="s">
        <v>0</v>
      </c>
    </row>
    <row r="111" spans="1:5" x14ac:dyDescent="0.3">
      <c r="A111" t="s">
        <v>198</v>
      </c>
      <c r="B111" s="1"/>
      <c r="C111" s="1" t="s">
        <v>282</v>
      </c>
      <c r="D111" s="1">
        <v>5</v>
      </c>
      <c r="E111" s="1" t="s">
        <v>0</v>
      </c>
    </row>
    <row r="112" spans="1:5" x14ac:dyDescent="0.3">
      <c r="A112" t="s">
        <v>264</v>
      </c>
      <c r="B112" s="1" t="s">
        <v>265</v>
      </c>
      <c r="C112" s="1" t="s">
        <v>12</v>
      </c>
      <c r="D112" s="1">
        <v>4</v>
      </c>
      <c r="E112" s="1" t="s">
        <v>0</v>
      </c>
    </row>
    <row r="113" spans="1:5" x14ac:dyDescent="0.3">
      <c r="A113" t="s">
        <v>264</v>
      </c>
      <c r="B113" s="1" t="s">
        <v>265</v>
      </c>
      <c r="C113" s="1" t="s">
        <v>11</v>
      </c>
      <c r="D113" s="1">
        <v>4</v>
      </c>
      <c r="E113" s="1" t="s">
        <v>0</v>
      </c>
    </row>
    <row r="114" spans="1:5" x14ac:dyDescent="0.3">
      <c r="A114" t="s">
        <v>264</v>
      </c>
      <c r="B114" s="1" t="s">
        <v>265</v>
      </c>
      <c r="C114" s="1" t="s">
        <v>10</v>
      </c>
      <c r="D114" s="1">
        <v>4</v>
      </c>
      <c r="E114" s="1" t="s">
        <v>0</v>
      </c>
    </row>
    <row r="115" spans="1:5" x14ac:dyDescent="0.3">
      <c r="A115" t="s">
        <v>264</v>
      </c>
      <c r="B115" s="1" t="s">
        <v>265</v>
      </c>
      <c r="C115" s="1" t="s">
        <v>9</v>
      </c>
      <c r="D115" s="1">
        <v>4</v>
      </c>
      <c r="E115" s="1" t="s">
        <v>0</v>
      </c>
    </row>
    <row r="116" spans="1:5" x14ac:dyDescent="0.3">
      <c r="A116" t="s">
        <v>264</v>
      </c>
      <c r="B116" s="1" t="s">
        <v>265</v>
      </c>
      <c r="C116" s="1" t="s">
        <v>8</v>
      </c>
      <c r="D116" s="1">
        <v>4</v>
      </c>
      <c r="E116" s="1" t="s">
        <v>0</v>
      </c>
    </row>
    <row r="117" spans="1:5" x14ac:dyDescent="0.3">
      <c r="A117" t="s">
        <v>264</v>
      </c>
      <c r="B117" s="1" t="s">
        <v>265</v>
      </c>
      <c r="C117" s="1" t="s">
        <v>7</v>
      </c>
      <c r="D117" s="1">
        <v>4</v>
      </c>
      <c r="E117" s="1" t="s">
        <v>0</v>
      </c>
    </row>
    <row r="118" spans="1:5" x14ac:dyDescent="0.3">
      <c r="A118" t="s">
        <v>264</v>
      </c>
      <c r="B118" s="1" t="s">
        <v>265</v>
      </c>
      <c r="C118" s="1" t="s">
        <v>6</v>
      </c>
      <c r="D118" s="1">
        <v>4</v>
      </c>
      <c r="E118" s="1" t="s">
        <v>0</v>
      </c>
    </row>
    <row r="119" spans="1:5" x14ac:dyDescent="0.3">
      <c r="A119" t="s">
        <v>264</v>
      </c>
      <c r="B119" s="1" t="s">
        <v>265</v>
      </c>
      <c r="C119" s="1" t="s">
        <v>5</v>
      </c>
      <c r="D119" s="1">
        <v>4</v>
      </c>
      <c r="E119" s="1" t="s">
        <v>0</v>
      </c>
    </row>
    <row r="120" spans="1:5" x14ac:dyDescent="0.3">
      <c r="A120" t="s">
        <v>264</v>
      </c>
      <c r="B120" s="1" t="s">
        <v>265</v>
      </c>
      <c r="C120" s="1" t="s">
        <v>4</v>
      </c>
      <c r="D120" s="1">
        <v>4</v>
      </c>
      <c r="E120" s="1" t="s">
        <v>0</v>
      </c>
    </row>
    <row r="121" spans="1:5" x14ac:dyDescent="0.3">
      <c r="A121" t="s">
        <v>264</v>
      </c>
      <c r="B121" s="1" t="s">
        <v>265</v>
      </c>
      <c r="C121" s="1" t="s">
        <v>3</v>
      </c>
      <c r="D121" s="1">
        <v>4</v>
      </c>
      <c r="E121" s="1" t="s">
        <v>0</v>
      </c>
    </row>
    <row r="122" spans="1:5" x14ac:dyDescent="0.3">
      <c r="A122" t="s">
        <v>264</v>
      </c>
      <c r="B122" s="1" t="s">
        <v>265</v>
      </c>
      <c r="C122" s="1" t="s">
        <v>2</v>
      </c>
      <c r="D122" s="1">
        <v>4</v>
      </c>
      <c r="E122" s="1" t="s">
        <v>0</v>
      </c>
    </row>
    <row r="123" spans="1:5" x14ac:dyDescent="0.3">
      <c r="A123" t="s">
        <v>264</v>
      </c>
      <c r="B123" s="1" t="s">
        <v>265</v>
      </c>
      <c r="C123" s="1" t="s">
        <v>1</v>
      </c>
      <c r="D123" s="1">
        <v>4</v>
      </c>
      <c r="E123" s="1" t="s">
        <v>0</v>
      </c>
    </row>
    <row r="124" spans="1:5" x14ac:dyDescent="0.3">
      <c r="A124" t="s">
        <v>264</v>
      </c>
      <c r="B124" s="1" t="s">
        <v>265</v>
      </c>
      <c r="C124" s="1" t="s">
        <v>285</v>
      </c>
      <c r="D124" s="1">
        <v>5</v>
      </c>
      <c r="E124" s="1" t="s">
        <v>0</v>
      </c>
    </row>
    <row r="125" spans="1:5" x14ac:dyDescent="0.3">
      <c r="A125" t="s">
        <v>264</v>
      </c>
      <c r="B125" s="1" t="s">
        <v>265</v>
      </c>
      <c r="C125" s="1" t="s">
        <v>286</v>
      </c>
      <c r="D125" s="1">
        <v>5</v>
      </c>
      <c r="E125" s="1" t="s">
        <v>0</v>
      </c>
    </row>
    <row r="126" spans="1:5" x14ac:dyDescent="0.3">
      <c r="A126" t="s">
        <v>264</v>
      </c>
      <c r="B126" s="1" t="s">
        <v>265</v>
      </c>
      <c r="C126" s="1" t="s">
        <v>287</v>
      </c>
      <c r="D126" s="1">
        <v>5</v>
      </c>
      <c r="E126" s="1" t="s">
        <v>0</v>
      </c>
    </row>
    <row r="127" spans="1:5" x14ac:dyDescent="0.3">
      <c r="A127" t="s">
        <v>264</v>
      </c>
      <c r="B127" s="1" t="s">
        <v>265</v>
      </c>
      <c r="C127" s="1" t="s">
        <v>5</v>
      </c>
      <c r="D127" s="1">
        <v>5</v>
      </c>
      <c r="E127" s="1" t="s">
        <v>0</v>
      </c>
    </row>
    <row r="128" spans="1:5" x14ac:dyDescent="0.3">
      <c r="A128" t="s">
        <v>264</v>
      </c>
      <c r="B128" s="1" t="s">
        <v>265</v>
      </c>
      <c r="C128" s="1" t="s">
        <v>288</v>
      </c>
      <c r="D128" s="1">
        <v>5</v>
      </c>
      <c r="E128" s="1" t="s">
        <v>0</v>
      </c>
    </row>
    <row r="129" spans="1:5" x14ac:dyDescent="0.3">
      <c r="A129" t="s">
        <v>264</v>
      </c>
      <c r="B129" s="1" t="s">
        <v>265</v>
      </c>
      <c r="C129" s="1" t="s">
        <v>289</v>
      </c>
      <c r="D129" s="1">
        <v>5</v>
      </c>
      <c r="E129" s="1" t="s">
        <v>0</v>
      </c>
    </row>
    <row r="130" spans="1:5" x14ac:dyDescent="0.3">
      <c r="A130" t="s">
        <v>264</v>
      </c>
      <c r="B130" s="1" t="s">
        <v>265</v>
      </c>
      <c r="C130" s="1" t="s">
        <v>7</v>
      </c>
      <c r="D130" s="1">
        <v>5</v>
      </c>
      <c r="E130" s="1" t="s">
        <v>0</v>
      </c>
    </row>
    <row r="131" spans="1:5" x14ac:dyDescent="0.3">
      <c r="A131" t="s">
        <v>264</v>
      </c>
      <c r="B131" s="1" t="s">
        <v>265</v>
      </c>
      <c r="C131" s="1" t="s">
        <v>290</v>
      </c>
      <c r="D131" s="1">
        <v>5</v>
      </c>
      <c r="E131" s="1" t="s">
        <v>0</v>
      </c>
    </row>
    <row r="132" spans="1:5" x14ac:dyDescent="0.3">
      <c r="A132" t="s">
        <v>264</v>
      </c>
      <c r="B132" s="1" t="s">
        <v>265</v>
      </c>
      <c r="C132" s="1" t="s">
        <v>291</v>
      </c>
      <c r="D132" s="1">
        <v>5</v>
      </c>
      <c r="E132" s="1" t="s">
        <v>0</v>
      </c>
    </row>
    <row r="133" spans="1:5" x14ac:dyDescent="0.3">
      <c r="A133" t="s">
        <v>264</v>
      </c>
      <c r="B133" s="1" t="s">
        <v>265</v>
      </c>
      <c r="C133" s="1" t="s">
        <v>292</v>
      </c>
      <c r="D133" s="1">
        <v>5</v>
      </c>
      <c r="E133" s="1" t="s">
        <v>0</v>
      </c>
    </row>
    <row r="134" spans="1:5" x14ac:dyDescent="0.3">
      <c r="A134" t="s">
        <v>264</v>
      </c>
      <c r="B134" s="1" t="s">
        <v>265</v>
      </c>
      <c r="C134" s="1" t="s">
        <v>293</v>
      </c>
      <c r="D134" s="1">
        <v>5</v>
      </c>
      <c r="E134" s="1" t="s">
        <v>0</v>
      </c>
    </row>
    <row r="135" spans="1:5" x14ac:dyDescent="0.3">
      <c r="A135" t="s">
        <v>264</v>
      </c>
      <c r="B135" s="1" t="s">
        <v>265</v>
      </c>
      <c r="C135" s="1" t="s">
        <v>294</v>
      </c>
      <c r="D135" s="1">
        <v>5</v>
      </c>
      <c r="E135" s="1" t="s">
        <v>0</v>
      </c>
    </row>
    <row r="136" spans="1:5" x14ac:dyDescent="0.3">
      <c r="A136" t="s">
        <v>264</v>
      </c>
      <c r="B136" s="1" t="s">
        <v>265</v>
      </c>
      <c r="C136" s="1" t="s">
        <v>295</v>
      </c>
      <c r="D136" s="1">
        <v>5</v>
      </c>
      <c r="E136" s="1" t="s">
        <v>0</v>
      </c>
    </row>
    <row r="137" spans="1:5" x14ac:dyDescent="0.3">
      <c r="A137" t="s">
        <v>264</v>
      </c>
      <c r="B137" s="1" t="s">
        <v>265</v>
      </c>
      <c r="C137" s="1" t="s">
        <v>296</v>
      </c>
      <c r="D137" s="1">
        <v>5</v>
      </c>
      <c r="E137" s="1" t="s">
        <v>0</v>
      </c>
    </row>
    <row r="138" spans="1:5" x14ac:dyDescent="0.3">
      <c r="A138" t="s">
        <v>222</v>
      </c>
      <c r="B138" s="1"/>
      <c r="C138" s="1" t="s">
        <v>221</v>
      </c>
      <c r="D138" s="1">
        <v>2</v>
      </c>
      <c r="E138" s="1" t="s">
        <v>0</v>
      </c>
    </row>
    <row r="139" spans="1:5" x14ac:dyDescent="0.3">
      <c r="A139" t="s">
        <v>248</v>
      </c>
      <c r="B139" s="1"/>
      <c r="C139" s="1" t="s">
        <v>247</v>
      </c>
      <c r="D139" s="1">
        <v>2</v>
      </c>
      <c r="E139" s="1" t="s">
        <v>0</v>
      </c>
    </row>
    <row r="140" spans="1:5" x14ac:dyDescent="0.3">
      <c r="A140" t="s">
        <v>240</v>
      </c>
      <c r="B140" s="1"/>
      <c r="C140" s="1" t="s">
        <v>239</v>
      </c>
      <c r="D140" s="1">
        <v>2</v>
      </c>
      <c r="E140" s="1" t="s">
        <v>0</v>
      </c>
    </row>
    <row r="141" spans="1:5" x14ac:dyDescent="0.3">
      <c r="A141" t="s">
        <v>218</v>
      </c>
      <c r="B141" s="1"/>
      <c r="C141" s="1" t="s">
        <v>217</v>
      </c>
      <c r="D141" s="1">
        <v>2</v>
      </c>
      <c r="E141" s="1" t="s">
        <v>0</v>
      </c>
    </row>
    <row r="142" spans="1:5" x14ac:dyDescent="0.3">
      <c r="A142" t="s">
        <v>271</v>
      </c>
      <c r="B142" s="1"/>
      <c r="C142" s="1" t="s">
        <v>281</v>
      </c>
      <c r="D142" s="1">
        <v>5</v>
      </c>
      <c r="E142" s="1" t="s">
        <v>0</v>
      </c>
    </row>
    <row r="143" spans="1:5" x14ac:dyDescent="0.3">
      <c r="A143" t="s">
        <v>266</v>
      </c>
      <c r="B143" s="1"/>
      <c r="C143" s="1" t="s">
        <v>272</v>
      </c>
      <c r="D143" s="1">
        <v>5</v>
      </c>
      <c r="E143" s="1" t="s">
        <v>0</v>
      </c>
    </row>
    <row r="144" spans="1:5" x14ac:dyDescent="0.3">
      <c r="A144" t="s">
        <v>164</v>
      </c>
      <c r="B144" s="1"/>
      <c r="C144" s="1" t="s">
        <v>163</v>
      </c>
      <c r="D144" s="1">
        <v>1</v>
      </c>
      <c r="E144" s="1" t="s">
        <v>149</v>
      </c>
    </row>
    <row r="145" spans="1:5" x14ac:dyDescent="0.3">
      <c r="A145" t="s">
        <v>160</v>
      </c>
      <c r="B145" s="1"/>
      <c r="C145" s="1" t="s">
        <v>174</v>
      </c>
      <c r="D145" s="1" t="s">
        <v>169</v>
      </c>
      <c r="E145" s="1" t="s">
        <v>149</v>
      </c>
    </row>
    <row r="146" spans="1:5" x14ac:dyDescent="0.3">
      <c r="A146" t="s">
        <v>160</v>
      </c>
      <c r="B146" s="1"/>
      <c r="C146" s="1" t="s">
        <v>174</v>
      </c>
      <c r="D146" s="1" t="s">
        <v>169</v>
      </c>
      <c r="E146" s="1" t="s">
        <v>149</v>
      </c>
    </row>
    <row r="147" spans="1:5" x14ac:dyDescent="0.3">
      <c r="A147" t="s">
        <v>160</v>
      </c>
      <c r="B147" s="1"/>
      <c r="C147" s="1" t="s">
        <v>158</v>
      </c>
      <c r="D147" s="1">
        <v>1</v>
      </c>
      <c r="E147" s="1" t="s">
        <v>149</v>
      </c>
    </row>
    <row r="148" spans="1:5" x14ac:dyDescent="0.3">
      <c r="A148" t="s">
        <v>244</v>
      </c>
      <c r="B148" s="1"/>
      <c r="C148" s="1" t="s">
        <v>243</v>
      </c>
      <c r="D148" s="1">
        <v>2</v>
      </c>
      <c r="E148" s="1" t="s">
        <v>0</v>
      </c>
    </row>
    <row r="149" spans="1:5" x14ac:dyDescent="0.3">
      <c r="A149" t="s">
        <v>226</v>
      </c>
      <c r="B149" s="1"/>
      <c r="C149" s="1" t="s">
        <v>225</v>
      </c>
      <c r="D149" s="1">
        <v>2</v>
      </c>
      <c r="E149" s="1" t="s">
        <v>149</v>
      </c>
    </row>
    <row r="150" spans="1:5" x14ac:dyDescent="0.3">
      <c r="A150" t="s">
        <v>186</v>
      </c>
      <c r="B150" s="1"/>
      <c r="C150" s="1" t="s">
        <v>185</v>
      </c>
      <c r="D150" s="1">
        <v>2</v>
      </c>
      <c r="E150" s="1" t="s">
        <v>0</v>
      </c>
    </row>
    <row r="151" spans="1:5" x14ac:dyDescent="0.3">
      <c r="A151" t="s">
        <v>242</v>
      </c>
      <c r="B151" s="1"/>
      <c r="C151" s="1" t="s">
        <v>241</v>
      </c>
      <c r="D151" s="1">
        <v>2</v>
      </c>
      <c r="E151" s="1" t="s">
        <v>0</v>
      </c>
    </row>
    <row r="152" spans="1:5" x14ac:dyDescent="0.3">
      <c r="A152" t="s">
        <v>208</v>
      </c>
      <c r="B152" s="1"/>
      <c r="C152" s="1" t="s">
        <v>236</v>
      </c>
      <c r="D152" s="1">
        <v>2</v>
      </c>
      <c r="E152" s="1" t="s">
        <v>0</v>
      </c>
    </row>
    <row r="153" spans="1:5" x14ac:dyDescent="0.3">
      <c r="A153" t="s">
        <v>208</v>
      </c>
      <c r="B153" s="1"/>
      <c r="C153" s="1" t="s">
        <v>207</v>
      </c>
      <c r="D153" s="1">
        <v>2</v>
      </c>
      <c r="E153" s="1" t="s">
        <v>0</v>
      </c>
    </row>
    <row r="154" spans="1:5" x14ac:dyDescent="0.3">
      <c r="A154" t="s">
        <v>152</v>
      </c>
      <c r="B154" s="1"/>
      <c r="C154" s="1" t="s">
        <v>151</v>
      </c>
      <c r="D154" s="1">
        <v>1</v>
      </c>
      <c r="E154" s="1" t="s">
        <v>149</v>
      </c>
    </row>
    <row r="155" spans="1:5" x14ac:dyDescent="0.3">
      <c r="A155" t="s">
        <v>269</v>
      </c>
      <c r="B155" s="1"/>
      <c r="C155" s="1" t="s">
        <v>276</v>
      </c>
      <c r="D155" s="1">
        <v>5</v>
      </c>
      <c r="E155" s="1" t="s">
        <v>0</v>
      </c>
    </row>
    <row r="156" spans="1:5" x14ac:dyDescent="0.3">
      <c r="A156" t="s">
        <v>231</v>
      </c>
      <c r="B156" s="1"/>
      <c r="C156" s="1" t="s">
        <v>230</v>
      </c>
      <c r="D156" s="1">
        <v>2</v>
      </c>
      <c r="E156" s="1" t="s">
        <v>0</v>
      </c>
    </row>
    <row r="157" spans="1:5" x14ac:dyDescent="0.3">
      <c r="A157" t="s">
        <v>224</v>
      </c>
      <c r="B157" s="1"/>
      <c r="C157" s="1" t="s">
        <v>246</v>
      </c>
      <c r="D157" s="1">
        <v>2</v>
      </c>
      <c r="E157" s="1" t="s">
        <v>0</v>
      </c>
    </row>
    <row r="158" spans="1:5" x14ac:dyDescent="0.3">
      <c r="A158" t="s">
        <v>224</v>
      </c>
      <c r="B158" s="1"/>
      <c r="C158" s="1" t="s">
        <v>223</v>
      </c>
      <c r="D158" s="1">
        <v>2</v>
      </c>
      <c r="E158" s="1" t="s">
        <v>149</v>
      </c>
    </row>
    <row r="159" spans="1:5" x14ac:dyDescent="0.3">
      <c r="A159" t="s">
        <v>157</v>
      </c>
      <c r="B159" s="1"/>
      <c r="C159" s="1" t="s">
        <v>233</v>
      </c>
      <c r="D159" s="1">
        <v>2</v>
      </c>
      <c r="E159" s="1" t="s">
        <v>0</v>
      </c>
    </row>
    <row r="160" spans="1:5" x14ac:dyDescent="0.3">
      <c r="A160" t="s">
        <v>157</v>
      </c>
      <c r="B160" s="1"/>
      <c r="C160" s="1" t="s">
        <v>156</v>
      </c>
      <c r="D160" s="1">
        <v>1</v>
      </c>
      <c r="E160" s="1" t="s">
        <v>149</v>
      </c>
    </row>
    <row r="161" spans="1:5" x14ac:dyDescent="0.3">
      <c r="A161" t="s">
        <v>216</v>
      </c>
      <c r="B161" s="1"/>
      <c r="C161" s="1" t="s">
        <v>245</v>
      </c>
      <c r="D161" s="1">
        <v>2</v>
      </c>
      <c r="E161" s="1" t="s">
        <v>0</v>
      </c>
    </row>
    <row r="162" spans="1:5" x14ac:dyDescent="0.3">
      <c r="A162" t="s">
        <v>216</v>
      </c>
      <c r="B162" s="1"/>
      <c r="C162" s="1" t="s">
        <v>215</v>
      </c>
      <c r="D162" s="1">
        <v>2</v>
      </c>
      <c r="E162" s="1" t="s">
        <v>0</v>
      </c>
    </row>
    <row r="163" spans="1:5" x14ac:dyDescent="0.3">
      <c r="A163" t="s">
        <v>212</v>
      </c>
      <c r="B163" s="1"/>
      <c r="C163" s="1" t="s">
        <v>211</v>
      </c>
      <c r="D163" s="1">
        <v>2</v>
      </c>
      <c r="E163" s="1" t="s">
        <v>0</v>
      </c>
    </row>
    <row r="164" spans="1:5" x14ac:dyDescent="0.3">
      <c r="A164" t="s">
        <v>268</v>
      </c>
      <c r="B164" s="1"/>
      <c r="C164" s="1" t="s">
        <v>275</v>
      </c>
      <c r="D164" s="1">
        <v>5</v>
      </c>
      <c r="E164" s="1" t="s">
        <v>0</v>
      </c>
    </row>
    <row r="165" spans="1:5" x14ac:dyDescent="0.3">
      <c r="A165" t="s">
        <v>190</v>
      </c>
      <c r="B165" s="1"/>
      <c r="C165" s="1" t="s">
        <v>189</v>
      </c>
      <c r="D165" s="1">
        <v>2</v>
      </c>
      <c r="E165" s="1" t="s">
        <v>0</v>
      </c>
    </row>
    <row r="166" spans="1:5" x14ac:dyDescent="0.3">
      <c r="A166" t="s">
        <v>190</v>
      </c>
      <c r="B166" s="1"/>
      <c r="C166" s="1" t="s">
        <v>284</v>
      </c>
      <c r="D166" s="1">
        <v>5</v>
      </c>
      <c r="E166" s="1" t="s">
        <v>0</v>
      </c>
    </row>
    <row r="167" spans="1:5" x14ac:dyDescent="0.3">
      <c r="A167" t="s">
        <v>192</v>
      </c>
      <c r="B167" s="1"/>
      <c r="C167" s="1" t="s">
        <v>191</v>
      </c>
      <c r="D167" s="1">
        <v>2</v>
      </c>
      <c r="E167" s="1" t="s">
        <v>0</v>
      </c>
    </row>
    <row r="168" spans="1:5" x14ac:dyDescent="0.3">
      <c r="A168" t="s">
        <v>214</v>
      </c>
      <c r="B168" s="1"/>
      <c r="C168" s="1" t="s">
        <v>213</v>
      </c>
      <c r="D168" s="1">
        <v>2</v>
      </c>
      <c r="E168" s="1" t="s">
        <v>0</v>
      </c>
    </row>
    <row r="169" spans="1:5" x14ac:dyDescent="0.3">
      <c r="A169" t="s">
        <v>214</v>
      </c>
      <c r="B169" s="1"/>
      <c r="C169" s="1" t="s">
        <v>278</v>
      </c>
      <c r="D169" s="1">
        <v>5</v>
      </c>
      <c r="E169" s="1" t="s">
        <v>0</v>
      </c>
    </row>
    <row r="170" spans="1:5" x14ac:dyDescent="0.3">
      <c r="A170" t="s">
        <v>238</v>
      </c>
      <c r="B170" s="1"/>
      <c r="C170" s="1" t="s">
        <v>237</v>
      </c>
      <c r="D170" s="1">
        <v>2</v>
      </c>
      <c r="E170" s="1" t="s">
        <v>0</v>
      </c>
    </row>
    <row r="171" spans="1:5" x14ac:dyDescent="0.3">
      <c r="A171" t="s">
        <v>166</v>
      </c>
      <c r="B171" s="1"/>
      <c r="C171" s="1" t="s">
        <v>165</v>
      </c>
      <c r="D171" s="1">
        <v>1</v>
      </c>
      <c r="E171" s="1" t="s">
        <v>149</v>
      </c>
    </row>
    <row r="172" spans="1:5" x14ac:dyDescent="0.3">
      <c r="A172" t="s">
        <v>159</v>
      </c>
      <c r="B172" s="1"/>
      <c r="C172" s="1" t="s">
        <v>158</v>
      </c>
      <c r="D172" s="1">
        <v>1</v>
      </c>
      <c r="E172" s="1" t="s">
        <v>149</v>
      </c>
    </row>
    <row r="173" spans="1:5" x14ac:dyDescent="0.3">
      <c r="A173" t="s">
        <v>162</v>
      </c>
      <c r="B173" s="1"/>
      <c r="C173" s="1" t="s">
        <v>161</v>
      </c>
      <c r="D173" s="1">
        <v>1</v>
      </c>
      <c r="E173" s="1" t="s">
        <v>149</v>
      </c>
    </row>
    <row r="174" spans="1:5" x14ac:dyDescent="0.3">
      <c r="A174" t="s">
        <v>204</v>
      </c>
      <c r="B174" s="1"/>
      <c r="C174" s="1" t="s">
        <v>203</v>
      </c>
      <c r="D174" s="1">
        <v>2</v>
      </c>
      <c r="E174" s="1" t="s">
        <v>0</v>
      </c>
    </row>
    <row r="175" spans="1:5" x14ac:dyDescent="0.3">
      <c r="A175" t="s">
        <v>200</v>
      </c>
      <c r="B175" s="1"/>
      <c r="C175" s="1" t="s">
        <v>199</v>
      </c>
      <c r="D175" s="1">
        <v>2</v>
      </c>
      <c r="E175" s="1" t="s">
        <v>0</v>
      </c>
    </row>
    <row r="176" spans="1:5" x14ac:dyDescent="0.3">
      <c r="A176" t="s">
        <v>267</v>
      </c>
      <c r="B176" s="1"/>
      <c r="C176" s="1" t="s">
        <v>274</v>
      </c>
      <c r="D176" s="1">
        <v>5</v>
      </c>
      <c r="E176" s="1" t="s">
        <v>0</v>
      </c>
    </row>
    <row r="177" spans="1:5" x14ac:dyDescent="0.3">
      <c r="A177" t="s">
        <v>267</v>
      </c>
      <c r="B177" s="1"/>
      <c r="C177" s="1" t="s">
        <v>283</v>
      </c>
      <c r="D177" s="1">
        <v>5</v>
      </c>
      <c r="E177" s="1" t="s">
        <v>0</v>
      </c>
    </row>
    <row r="178" spans="1:5" x14ac:dyDescent="0.3">
      <c r="A178" t="s">
        <v>88</v>
      </c>
      <c r="B178" s="1"/>
      <c r="C178" s="1" t="s">
        <v>87</v>
      </c>
      <c r="D178" s="1">
        <v>3</v>
      </c>
      <c r="E178" s="1" t="s">
        <v>0</v>
      </c>
    </row>
    <row r="179" spans="1:5" x14ac:dyDescent="0.3">
      <c r="A179" t="s">
        <v>168</v>
      </c>
      <c r="B179" s="1"/>
      <c r="C179" s="1" t="s">
        <v>167</v>
      </c>
      <c r="D179" s="1">
        <v>1</v>
      </c>
      <c r="E179" s="1" t="s">
        <v>149</v>
      </c>
    </row>
    <row r="180" spans="1:5" x14ac:dyDescent="0.3">
      <c r="A180" t="s">
        <v>210</v>
      </c>
      <c r="B180" s="1"/>
      <c r="C180" s="1" t="s">
        <v>209</v>
      </c>
      <c r="D180" s="1">
        <v>2</v>
      </c>
      <c r="E180" s="1" t="s">
        <v>0</v>
      </c>
    </row>
    <row r="181" spans="1:5" x14ac:dyDescent="0.3">
      <c r="A181" t="s">
        <v>270</v>
      </c>
      <c r="B181" s="1"/>
      <c r="C181" s="1" t="s">
        <v>277</v>
      </c>
      <c r="D181" s="1">
        <v>5</v>
      </c>
      <c r="E181" s="1" t="s">
        <v>0</v>
      </c>
    </row>
    <row r="182" spans="1:5" x14ac:dyDescent="0.3">
      <c r="A182" t="s">
        <v>194</v>
      </c>
      <c r="B182" s="1"/>
      <c r="C182" s="1" t="s">
        <v>193</v>
      </c>
      <c r="D182" s="1">
        <v>2</v>
      </c>
      <c r="E182" s="1" t="s">
        <v>0</v>
      </c>
    </row>
    <row r="183" spans="1:5" x14ac:dyDescent="0.3">
      <c r="A183" t="s">
        <v>188</v>
      </c>
      <c r="B183" s="1"/>
      <c r="C183" s="1" t="s">
        <v>187</v>
      </c>
      <c r="D183" s="1">
        <v>2</v>
      </c>
      <c r="E183" s="1" t="s">
        <v>0</v>
      </c>
    </row>
    <row r="184" spans="1:5" x14ac:dyDescent="0.3">
      <c r="A184" t="s">
        <v>202</v>
      </c>
      <c r="B184" s="1"/>
      <c r="C184" s="1" t="s">
        <v>201</v>
      </c>
      <c r="D184" s="1">
        <v>2</v>
      </c>
      <c r="E184" s="1" t="s">
        <v>0</v>
      </c>
    </row>
    <row r="185" spans="1:5" x14ac:dyDescent="0.3">
      <c r="A185" t="s">
        <v>232</v>
      </c>
      <c r="B185" s="1"/>
      <c r="C185" s="1" t="s">
        <v>183</v>
      </c>
      <c r="D185" s="1">
        <v>2</v>
      </c>
      <c r="E185" s="1" t="s">
        <v>0</v>
      </c>
    </row>
    <row r="186" spans="1:5" x14ac:dyDescent="0.3">
      <c r="A186" t="s">
        <v>184</v>
      </c>
      <c r="B186" s="1"/>
      <c r="C186" s="1" t="s">
        <v>183</v>
      </c>
      <c r="D186" s="1" t="s">
        <v>169</v>
      </c>
      <c r="E186" s="1" t="s">
        <v>149</v>
      </c>
    </row>
    <row r="187" spans="1:5" x14ac:dyDescent="0.3">
      <c r="A187" t="s">
        <v>182</v>
      </c>
      <c r="B187" s="1"/>
      <c r="C187" s="1" t="s">
        <v>181</v>
      </c>
      <c r="D187" s="1" t="s">
        <v>169</v>
      </c>
      <c r="E187" s="1" t="s">
        <v>149</v>
      </c>
    </row>
    <row r="188" spans="1:5" x14ac:dyDescent="0.3">
      <c r="A188" t="s">
        <v>196</v>
      </c>
      <c r="B188" s="1"/>
      <c r="C188" s="1" t="s">
        <v>195</v>
      </c>
      <c r="D188" s="1">
        <v>2</v>
      </c>
      <c r="E188" s="1" t="s">
        <v>0</v>
      </c>
    </row>
    <row r="189" spans="1:5" x14ac:dyDescent="0.3">
      <c r="A189" t="s">
        <v>235</v>
      </c>
      <c r="B189" s="1"/>
      <c r="C189" s="1" t="s">
        <v>234</v>
      </c>
      <c r="D189" s="1">
        <v>2</v>
      </c>
      <c r="E189" s="1" t="s">
        <v>0</v>
      </c>
    </row>
    <row r="190" spans="1:5" x14ac:dyDescent="0.3">
      <c r="A190" t="s">
        <v>155</v>
      </c>
      <c r="B190" s="1"/>
      <c r="C190" s="1" t="s">
        <v>154</v>
      </c>
      <c r="D190" s="1">
        <v>1</v>
      </c>
      <c r="E190" s="1" t="s">
        <v>149</v>
      </c>
    </row>
    <row r="191" spans="1:5" x14ac:dyDescent="0.3">
      <c r="A191" t="s">
        <v>206</v>
      </c>
      <c r="B191" s="1"/>
      <c r="C191" s="1" t="s">
        <v>205</v>
      </c>
      <c r="D191" s="1">
        <v>2</v>
      </c>
      <c r="E191" s="1" t="s">
        <v>0</v>
      </c>
    </row>
  </sheetData>
  <dataConsolidate link="1"/>
  <pageMargins left="0.7" right="0.7" top="0.75" bottom="0.75" header="0.3" footer="0.3"/>
  <pageSetup orientation="portrait" r:id="rId1"/>
  <headerFooter>
    <oddFooter>&amp;C&amp;1#&amp;"Arial"&amp;10&amp;K000000Classified as Internal Information</oddFooter>
  </headerFooter>
  <drawing r:id="rId2"/>
  <legacyDrawing r:id="rId3"/>
  <controls>
    <mc:AlternateContent xmlns:mc="http://schemas.openxmlformats.org/markup-compatibility/2006">
      <mc:Choice Requires="x14">
        <control shapeId="3073" r:id="rId4" name="TextBox1">
          <controlPr defaultSize="0" autoLine="0" linkedCell="J8" r:id="rId5">
            <anchor moveWithCells="1">
              <from>
                <xdr:col>8</xdr:col>
                <xdr:colOff>7620</xdr:colOff>
                <xdr:row>6</xdr:row>
                <xdr:rowOff>175260</xdr:rowOff>
              </from>
              <to>
                <xdr:col>10</xdr:col>
                <xdr:colOff>762000</xdr:colOff>
                <xdr:row>8</xdr:row>
                <xdr:rowOff>30480</xdr:rowOff>
              </to>
            </anchor>
          </controlPr>
        </control>
      </mc:Choice>
      <mc:Fallback>
        <control shapeId="3073" r:id="rId4" name="TextBox1"/>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39274-C045-4FAD-8D7B-ABBAC9E3C03D}">
  <dimension ref="A1:H180"/>
  <sheetViews>
    <sheetView showGridLines="0" showRowColHeaders="0" workbookViewId="0">
      <selection activeCell="F2" sqref="F2"/>
    </sheetView>
  </sheetViews>
  <sheetFormatPr defaultRowHeight="14.4" x14ac:dyDescent="0.3"/>
  <cols>
    <col min="1" max="1" width="26.109375" bestFit="1" customWidth="1"/>
    <col min="2" max="2" width="12.88671875" bestFit="1" customWidth="1"/>
    <col min="3" max="3" width="13.21875" bestFit="1" customWidth="1"/>
    <col min="4" max="4" width="24.33203125" bestFit="1" customWidth="1"/>
    <col min="5" max="5" width="21.88671875" bestFit="1" customWidth="1"/>
    <col min="7" max="7" width="15.5546875" bestFit="1" customWidth="1"/>
    <col min="8" max="8" width="26.33203125" customWidth="1"/>
  </cols>
  <sheetData>
    <row r="1" spans="1:8" x14ac:dyDescent="0.3">
      <c r="A1" s="2" t="s">
        <v>253</v>
      </c>
    </row>
    <row r="2" spans="1:8" x14ac:dyDescent="0.3">
      <c r="A2" s="2" t="s">
        <v>252</v>
      </c>
      <c r="B2" s="2" t="s">
        <v>254</v>
      </c>
      <c r="C2" s="2" t="s">
        <v>251</v>
      </c>
      <c r="D2" s="2" t="s">
        <v>250</v>
      </c>
      <c r="E2" s="2" t="s">
        <v>249</v>
      </c>
    </row>
    <row r="3" spans="1:8" ht="15" thickBot="1" x14ac:dyDescent="0.35">
      <c r="A3" t="s">
        <v>148</v>
      </c>
      <c r="B3" s="1"/>
      <c r="C3" s="1" t="s">
        <v>147</v>
      </c>
      <c r="D3" s="1">
        <v>1</v>
      </c>
      <c r="E3" s="1" t="s">
        <v>0</v>
      </c>
      <c r="G3" s="13" t="s">
        <v>252</v>
      </c>
      <c r="H3" s="12" t="s">
        <v>60</v>
      </c>
    </row>
    <row r="4" spans="1:8" x14ac:dyDescent="0.3">
      <c r="A4" t="s">
        <v>97</v>
      </c>
      <c r="B4" s="1"/>
      <c r="C4" s="1" t="s">
        <v>96</v>
      </c>
      <c r="D4" s="1">
        <v>1</v>
      </c>
      <c r="E4" s="1" t="s">
        <v>0</v>
      </c>
      <c r="G4" s="14" t="s">
        <v>251</v>
      </c>
      <c r="H4" t="str">
        <f>IFERROR(VLOOKUP(H3,Table634[#All],3,FALSE),"Not Found")</f>
        <v>2K18006</v>
      </c>
    </row>
    <row r="5" spans="1:8" x14ac:dyDescent="0.3">
      <c r="A5" t="s">
        <v>93</v>
      </c>
      <c r="B5" s="1"/>
      <c r="C5" s="1" t="s">
        <v>92</v>
      </c>
      <c r="D5" s="1">
        <v>1</v>
      </c>
      <c r="E5" s="1" t="s">
        <v>0</v>
      </c>
    </row>
    <row r="6" spans="1:8" x14ac:dyDescent="0.3">
      <c r="A6" t="s">
        <v>122</v>
      </c>
      <c r="B6" s="1"/>
      <c r="C6" s="1" t="s">
        <v>121</v>
      </c>
      <c r="D6" s="1">
        <v>1</v>
      </c>
      <c r="E6" s="1" t="s">
        <v>0</v>
      </c>
    </row>
    <row r="7" spans="1:8" x14ac:dyDescent="0.3">
      <c r="A7" t="s">
        <v>101</v>
      </c>
      <c r="B7" s="1"/>
      <c r="C7" s="1" t="s">
        <v>100</v>
      </c>
      <c r="D7" s="1">
        <v>1</v>
      </c>
      <c r="E7" s="1" t="s">
        <v>0</v>
      </c>
    </row>
    <row r="8" spans="1:8" x14ac:dyDescent="0.3">
      <c r="A8" t="s">
        <v>108</v>
      </c>
      <c r="B8" s="1"/>
      <c r="C8" s="1" t="s">
        <v>107</v>
      </c>
      <c r="D8" s="1">
        <v>1</v>
      </c>
      <c r="E8" s="1" t="s">
        <v>0</v>
      </c>
    </row>
    <row r="9" spans="1:8" x14ac:dyDescent="0.3">
      <c r="A9" t="s">
        <v>99</v>
      </c>
      <c r="B9" s="1"/>
      <c r="C9" s="1" t="s">
        <v>103</v>
      </c>
      <c r="D9" s="1">
        <v>1</v>
      </c>
      <c r="E9" s="1" t="s">
        <v>0</v>
      </c>
    </row>
    <row r="10" spans="1:8" x14ac:dyDescent="0.3">
      <c r="A10" t="s">
        <v>99</v>
      </c>
      <c r="B10" s="1"/>
      <c r="C10" s="1" t="s">
        <v>98</v>
      </c>
      <c r="D10" s="1">
        <v>1</v>
      </c>
      <c r="E10" s="1" t="s">
        <v>0</v>
      </c>
    </row>
    <row r="11" spans="1:8" x14ac:dyDescent="0.3">
      <c r="A11" t="s">
        <v>300</v>
      </c>
      <c r="B11" s="1" t="s">
        <v>68</v>
      </c>
      <c r="C11" s="1" t="s">
        <v>102</v>
      </c>
      <c r="D11" s="1">
        <v>1</v>
      </c>
      <c r="E11" s="1" t="s">
        <v>0</v>
      </c>
    </row>
    <row r="12" spans="1:8" x14ac:dyDescent="0.3">
      <c r="A12" t="s">
        <v>95</v>
      </c>
      <c r="B12" s="1"/>
      <c r="C12" s="1" t="s">
        <v>94</v>
      </c>
      <c r="D12" s="1">
        <v>1</v>
      </c>
      <c r="E12" s="1" t="s">
        <v>0</v>
      </c>
    </row>
    <row r="13" spans="1:8" x14ac:dyDescent="0.3">
      <c r="A13" t="s">
        <v>135</v>
      </c>
      <c r="B13" s="1"/>
      <c r="C13" s="1" t="s">
        <v>134</v>
      </c>
      <c r="D13" s="1">
        <v>1</v>
      </c>
      <c r="E13" s="1" t="s">
        <v>0</v>
      </c>
    </row>
    <row r="14" spans="1:8" x14ac:dyDescent="0.3">
      <c r="A14" t="s">
        <v>106</v>
      </c>
      <c r="B14" s="1"/>
      <c r="C14" s="1" t="s">
        <v>105</v>
      </c>
      <c r="D14" s="1">
        <v>1</v>
      </c>
      <c r="E14" s="1" t="s">
        <v>0</v>
      </c>
    </row>
    <row r="15" spans="1:8" x14ac:dyDescent="0.3">
      <c r="A15" t="s">
        <v>113</v>
      </c>
      <c r="B15" s="1"/>
      <c r="C15" s="1" t="s">
        <v>112</v>
      </c>
      <c r="D15" s="1">
        <v>1</v>
      </c>
      <c r="E15" s="1" t="s">
        <v>0</v>
      </c>
    </row>
    <row r="16" spans="1:8" x14ac:dyDescent="0.3">
      <c r="A16" t="s">
        <v>297</v>
      </c>
      <c r="B16" s="1" t="s">
        <v>68</v>
      </c>
      <c r="C16" s="1" t="s">
        <v>141</v>
      </c>
      <c r="D16" s="1">
        <v>1</v>
      </c>
      <c r="E16" s="1" t="s">
        <v>0</v>
      </c>
    </row>
    <row r="17" spans="1:5" x14ac:dyDescent="0.3">
      <c r="A17" t="s">
        <v>143</v>
      </c>
      <c r="B17" s="1"/>
      <c r="C17" s="1" t="s">
        <v>142</v>
      </c>
      <c r="D17" s="1">
        <v>1</v>
      </c>
      <c r="E17" s="1" t="s">
        <v>0</v>
      </c>
    </row>
    <row r="18" spans="1:5" x14ac:dyDescent="0.3">
      <c r="A18" t="s">
        <v>301</v>
      </c>
      <c r="B18" s="1" t="s">
        <v>50</v>
      </c>
      <c r="C18" s="1" t="s">
        <v>120</v>
      </c>
      <c r="D18" s="1">
        <v>1</v>
      </c>
      <c r="E18" s="1" t="s">
        <v>0</v>
      </c>
    </row>
    <row r="19" spans="1:5" x14ac:dyDescent="0.3">
      <c r="A19" t="s">
        <v>298</v>
      </c>
      <c r="B19" s="1" t="s">
        <v>90</v>
      </c>
      <c r="C19" s="1" t="s">
        <v>145</v>
      </c>
      <c r="D19" s="1">
        <v>1</v>
      </c>
      <c r="E19" s="1" t="s">
        <v>0</v>
      </c>
    </row>
    <row r="20" spans="1:5" x14ac:dyDescent="0.3">
      <c r="A20" t="s">
        <v>302</v>
      </c>
      <c r="B20" s="1" t="s">
        <v>152</v>
      </c>
      <c r="C20" s="1" t="s">
        <v>125</v>
      </c>
      <c r="D20" s="1">
        <v>1</v>
      </c>
      <c r="E20" s="1" t="s">
        <v>0</v>
      </c>
    </row>
    <row r="21" spans="1:5" x14ac:dyDescent="0.3">
      <c r="A21" t="s">
        <v>110</v>
      </c>
      <c r="B21" s="1"/>
      <c r="C21" s="1" t="s">
        <v>109</v>
      </c>
      <c r="D21" s="1">
        <v>1</v>
      </c>
      <c r="E21" s="1" t="s">
        <v>0</v>
      </c>
    </row>
    <row r="22" spans="1:5" x14ac:dyDescent="0.3">
      <c r="A22" t="s">
        <v>303</v>
      </c>
      <c r="B22" s="1" t="s">
        <v>186</v>
      </c>
      <c r="C22" s="1" t="s">
        <v>144</v>
      </c>
      <c r="D22" s="1">
        <v>1</v>
      </c>
      <c r="E22" s="1" t="s">
        <v>0</v>
      </c>
    </row>
    <row r="23" spans="1:5" x14ac:dyDescent="0.3">
      <c r="A23" t="s">
        <v>304</v>
      </c>
      <c r="B23" s="1" t="s">
        <v>260</v>
      </c>
      <c r="C23" s="1" t="s">
        <v>111</v>
      </c>
      <c r="D23" s="1">
        <v>1</v>
      </c>
      <c r="E23" s="1" t="s">
        <v>0</v>
      </c>
    </row>
    <row r="24" spans="1:5" x14ac:dyDescent="0.3">
      <c r="A24" t="s">
        <v>115</v>
      </c>
      <c r="B24" s="1"/>
      <c r="C24" s="1" t="s">
        <v>114</v>
      </c>
      <c r="D24" s="1">
        <v>1</v>
      </c>
      <c r="E24" s="1" t="s">
        <v>0</v>
      </c>
    </row>
    <row r="25" spans="1:5" x14ac:dyDescent="0.3">
      <c r="A25" t="s">
        <v>115</v>
      </c>
      <c r="B25" s="1" t="s">
        <v>227</v>
      </c>
      <c r="C25" s="1" t="s">
        <v>114</v>
      </c>
      <c r="D25" s="1">
        <v>1</v>
      </c>
      <c r="E25" s="1" t="s">
        <v>0</v>
      </c>
    </row>
    <row r="26" spans="1:5" x14ac:dyDescent="0.3">
      <c r="A26" t="s">
        <v>299</v>
      </c>
      <c r="B26" s="1" t="s">
        <v>257</v>
      </c>
      <c r="C26" s="1" t="s">
        <v>123</v>
      </c>
      <c r="D26" s="1">
        <v>1</v>
      </c>
      <c r="E26" s="1" t="s">
        <v>0</v>
      </c>
    </row>
    <row r="27" spans="1:5" x14ac:dyDescent="0.3">
      <c r="A27" t="s">
        <v>171</v>
      </c>
      <c r="B27" s="1"/>
      <c r="C27" s="1" t="s">
        <v>170</v>
      </c>
      <c r="D27" s="1" t="s">
        <v>169</v>
      </c>
      <c r="E27" s="1" t="s">
        <v>149</v>
      </c>
    </row>
    <row r="28" spans="1:5" x14ac:dyDescent="0.3">
      <c r="A28" t="s">
        <v>305</v>
      </c>
      <c r="B28" s="1" t="s">
        <v>261</v>
      </c>
      <c r="C28" s="1" t="s">
        <v>104</v>
      </c>
      <c r="D28" s="1">
        <v>1</v>
      </c>
      <c r="E28" s="1" t="s">
        <v>0</v>
      </c>
    </row>
    <row r="29" spans="1:5" x14ac:dyDescent="0.3">
      <c r="A29" t="s">
        <v>117</v>
      </c>
      <c r="B29" s="1"/>
      <c r="C29" s="1" t="s">
        <v>116</v>
      </c>
      <c r="D29" s="1">
        <v>1</v>
      </c>
      <c r="E29" s="1" t="s">
        <v>0</v>
      </c>
    </row>
    <row r="30" spans="1:5" x14ac:dyDescent="0.3">
      <c r="A30" t="s">
        <v>139</v>
      </c>
      <c r="B30" s="1"/>
      <c r="C30" s="1" t="s">
        <v>138</v>
      </c>
      <c r="D30" s="1">
        <v>1</v>
      </c>
      <c r="E30" s="1" t="s">
        <v>0</v>
      </c>
    </row>
    <row r="31" spans="1:5" x14ac:dyDescent="0.3">
      <c r="A31" t="s">
        <v>306</v>
      </c>
      <c r="B31" s="1" t="s">
        <v>208</v>
      </c>
      <c r="C31" s="1" t="s">
        <v>140</v>
      </c>
      <c r="D31" s="1">
        <v>1</v>
      </c>
      <c r="E31" s="1" t="s">
        <v>0</v>
      </c>
    </row>
    <row r="32" spans="1:5" x14ac:dyDescent="0.3">
      <c r="A32" t="s">
        <v>307</v>
      </c>
      <c r="B32" s="1" t="s">
        <v>259</v>
      </c>
      <c r="C32" s="1" t="s">
        <v>118</v>
      </c>
      <c r="D32" s="1">
        <v>1</v>
      </c>
      <c r="E32" s="1" t="s">
        <v>0</v>
      </c>
    </row>
    <row r="33" spans="1:5" x14ac:dyDescent="0.3">
      <c r="A33" t="s">
        <v>129</v>
      </c>
      <c r="B33" s="1"/>
      <c r="C33" s="1" t="s">
        <v>128</v>
      </c>
      <c r="D33" s="1">
        <v>1</v>
      </c>
      <c r="E33" s="1" t="s">
        <v>0</v>
      </c>
    </row>
    <row r="34" spans="1:5" x14ac:dyDescent="0.3">
      <c r="A34" t="s">
        <v>133</v>
      </c>
      <c r="B34" s="1"/>
      <c r="C34" s="1" t="s">
        <v>132</v>
      </c>
      <c r="D34" s="1">
        <v>1</v>
      </c>
      <c r="E34" s="1" t="s">
        <v>0</v>
      </c>
    </row>
    <row r="35" spans="1:5" x14ac:dyDescent="0.3">
      <c r="A35" t="s">
        <v>131</v>
      </c>
      <c r="B35" s="1"/>
      <c r="C35" s="1" t="s">
        <v>130</v>
      </c>
      <c r="D35" s="1">
        <v>1</v>
      </c>
      <c r="E35" s="1" t="s">
        <v>0</v>
      </c>
    </row>
    <row r="36" spans="1:5" x14ac:dyDescent="0.3">
      <c r="A36" t="s">
        <v>127</v>
      </c>
      <c r="B36" s="1"/>
      <c r="C36" s="1" t="s">
        <v>126</v>
      </c>
      <c r="D36" s="1">
        <v>1</v>
      </c>
      <c r="E36" s="1" t="s">
        <v>0</v>
      </c>
    </row>
    <row r="37" spans="1:5" x14ac:dyDescent="0.3">
      <c r="A37" t="s">
        <v>137</v>
      </c>
      <c r="B37" s="1"/>
      <c r="C37" s="1" t="s">
        <v>136</v>
      </c>
      <c r="D37" s="1">
        <v>1</v>
      </c>
      <c r="E37" s="1" t="s">
        <v>0</v>
      </c>
    </row>
    <row r="38" spans="1:5" x14ac:dyDescent="0.3">
      <c r="A38" t="s">
        <v>308</v>
      </c>
      <c r="B38" s="1" t="s">
        <v>256</v>
      </c>
      <c r="C38" s="1" t="s">
        <v>124</v>
      </c>
      <c r="D38" s="1">
        <v>1</v>
      </c>
      <c r="E38" s="1" t="s">
        <v>0</v>
      </c>
    </row>
    <row r="39" spans="1:5" x14ac:dyDescent="0.3">
      <c r="A39" t="s">
        <v>313</v>
      </c>
      <c r="B39" s="1" t="s">
        <v>258</v>
      </c>
      <c r="C39" s="1" t="s">
        <v>119</v>
      </c>
      <c r="D39" s="1">
        <v>1</v>
      </c>
      <c r="E39" s="1" t="s">
        <v>0</v>
      </c>
    </row>
    <row r="40" spans="1:5" x14ac:dyDescent="0.3">
      <c r="A40" t="s">
        <v>309</v>
      </c>
      <c r="B40" s="1" t="s">
        <v>235</v>
      </c>
      <c r="C40" s="1" t="s">
        <v>91</v>
      </c>
      <c r="D40" s="1">
        <v>1</v>
      </c>
      <c r="E40" s="1" t="s">
        <v>0</v>
      </c>
    </row>
    <row r="41" spans="1:5" x14ac:dyDescent="0.3">
      <c r="A41" t="s">
        <v>310</v>
      </c>
      <c r="B41" s="1" t="s">
        <v>255</v>
      </c>
      <c r="C41" s="1" t="s">
        <v>146</v>
      </c>
      <c r="D41" s="1">
        <v>1</v>
      </c>
      <c r="E41" s="1" t="s">
        <v>0</v>
      </c>
    </row>
    <row r="42" spans="1:5" x14ac:dyDescent="0.3">
      <c r="A42" t="s">
        <v>180</v>
      </c>
      <c r="B42" s="1"/>
      <c r="C42" s="1" t="s">
        <v>179</v>
      </c>
      <c r="D42" s="1" t="s">
        <v>169</v>
      </c>
      <c r="E42" s="1" t="s">
        <v>149</v>
      </c>
    </row>
    <row r="43" spans="1:5" x14ac:dyDescent="0.3">
      <c r="A43" t="s">
        <v>25</v>
      </c>
      <c r="B43" s="1"/>
      <c r="C43" s="1" t="s">
        <v>24</v>
      </c>
      <c r="D43" s="1">
        <v>4</v>
      </c>
      <c r="E43" s="1" t="s">
        <v>0</v>
      </c>
    </row>
    <row r="44" spans="1:5" x14ac:dyDescent="0.3">
      <c r="A44" t="s">
        <v>14</v>
      </c>
      <c r="B44" s="1"/>
      <c r="C44" s="1" t="s">
        <v>23</v>
      </c>
      <c r="D44" s="1">
        <v>4</v>
      </c>
      <c r="E44" s="1" t="s">
        <v>0</v>
      </c>
    </row>
    <row r="45" spans="1:5" x14ac:dyDescent="0.3">
      <c r="A45" t="s">
        <v>14</v>
      </c>
      <c r="B45" s="1"/>
      <c r="C45" s="1" t="s">
        <v>13</v>
      </c>
      <c r="D45" s="1">
        <v>4</v>
      </c>
      <c r="E45" s="1" t="s">
        <v>0</v>
      </c>
    </row>
    <row r="46" spans="1:5" x14ac:dyDescent="0.3">
      <c r="A46" t="s">
        <v>18</v>
      </c>
      <c r="B46" s="1"/>
      <c r="C46" s="1" t="s">
        <v>19</v>
      </c>
      <c r="D46" s="1">
        <v>4</v>
      </c>
      <c r="E46" s="1" t="s">
        <v>0</v>
      </c>
    </row>
    <row r="47" spans="1:5" x14ac:dyDescent="0.3">
      <c r="A47" t="s">
        <v>18</v>
      </c>
      <c r="B47" s="1"/>
      <c r="C47" s="1" t="s">
        <v>17</v>
      </c>
      <c r="D47" s="1">
        <v>4</v>
      </c>
      <c r="E47" s="1" t="s">
        <v>0</v>
      </c>
    </row>
    <row r="48" spans="1:5" x14ac:dyDescent="0.3">
      <c r="A48" t="s">
        <v>21</v>
      </c>
      <c r="B48" s="1"/>
      <c r="C48" s="1" t="s">
        <v>22</v>
      </c>
      <c r="D48" s="1">
        <v>4</v>
      </c>
      <c r="E48" s="1" t="s">
        <v>0</v>
      </c>
    </row>
    <row r="49" spans="1:5" x14ac:dyDescent="0.3">
      <c r="A49" t="s">
        <v>21</v>
      </c>
      <c r="B49" s="1"/>
      <c r="C49" s="1" t="s">
        <v>20</v>
      </c>
      <c r="D49" s="1">
        <v>4</v>
      </c>
      <c r="E49" s="1" t="s">
        <v>0</v>
      </c>
    </row>
    <row r="50" spans="1:5" x14ac:dyDescent="0.3">
      <c r="A50" t="s">
        <v>16</v>
      </c>
      <c r="B50" s="1"/>
      <c r="C50" s="1" t="s">
        <v>15</v>
      </c>
      <c r="D50" s="1">
        <v>4</v>
      </c>
      <c r="E50" s="1" t="s">
        <v>0</v>
      </c>
    </row>
    <row r="51" spans="1:5" x14ac:dyDescent="0.3">
      <c r="A51" t="s">
        <v>58</v>
      </c>
      <c r="B51" s="1"/>
      <c r="C51" s="1" t="s">
        <v>79</v>
      </c>
      <c r="D51" s="1">
        <v>3</v>
      </c>
      <c r="E51" s="1" t="s">
        <v>0</v>
      </c>
    </row>
    <row r="52" spans="1:5" x14ac:dyDescent="0.3">
      <c r="A52" t="s">
        <v>58</v>
      </c>
      <c r="B52" s="1"/>
      <c r="C52" s="1" t="s">
        <v>57</v>
      </c>
      <c r="D52" s="1">
        <v>3</v>
      </c>
      <c r="E52" s="1" t="s">
        <v>0</v>
      </c>
    </row>
    <row r="53" spans="1:5" x14ac:dyDescent="0.3">
      <c r="A53" t="s">
        <v>74</v>
      </c>
      <c r="B53" s="1"/>
      <c r="C53" s="1" t="s">
        <v>76</v>
      </c>
      <c r="D53" s="1">
        <v>3</v>
      </c>
      <c r="E53" s="1" t="s">
        <v>0</v>
      </c>
    </row>
    <row r="54" spans="1:5" x14ac:dyDescent="0.3">
      <c r="A54" t="s">
        <v>74</v>
      </c>
      <c r="B54" s="1"/>
      <c r="C54" s="1" t="s">
        <v>73</v>
      </c>
      <c r="D54" s="1">
        <v>3</v>
      </c>
      <c r="E54" s="1" t="s">
        <v>0</v>
      </c>
    </row>
    <row r="55" spans="1:5" x14ac:dyDescent="0.3">
      <c r="A55" t="s">
        <v>66</v>
      </c>
      <c r="B55" s="1"/>
      <c r="C55" s="1" t="s">
        <v>78</v>
      </c>
      <c r="D55" s="1">
        <v>3</v>
      </c>
      <c r="E55" s="1" t="s">
        <v>0</v>
      </c>
    </row>
    <row r="56" spans="1:5" x14ac:dyDescent="0.3">
      <c r="A56" t="s">
        <v>66</v>
      </c>
      <c r="B56" s="1"/>
      <c r="C56" s="1" t="s">
        <v>65</v>
      </c>
      <c r="D56" s="1">
        <v>3</v>
      </c>
      <c r="E56" s="1" t="s">
        <v>0</v>
      </c>
    </row>
    <row r="57" spans="1:5" x14ac:dyDescent="0.3">
      <c r="A57" t="s">
        <v>81</v>
      </c>
      <c r="B57" s="1"/>
      <c r="C57" s="1" t="s">
        <v>80</v>
      </c>
      <c r="D57" s="1">
        <v>3</v>
      </c>
      <c r="E57" s="1" t="s">
        <v>0</v>
      </c>
    </row>
    <row r="58" spans="1:5" x14ac:dyDescent="0.3">
      <c r="A58" t="s">
        <v>62</v>
      </c>
      <c r="B58" s="1"/>
      <c r="C58" s="1" t="s">
        <v>77</v>
      </c>
      <c r="D58" s="1">
        <v>3</v>
      </c>
      <c r="E58" s="1" t="s">
        <v>0</v>
      </c>
    </row>
    <row r="59" spans="1:5" x14ac:dyDescent="0.3">
      <c r="A59" t="s">
        <v>62</v>
      </c>
      <c r="B59" s="1"/>
      <c r="C59" s="1" t="s">
        <v>75</v>
      </c>
      <c r="D59" s="1">
        <v>3</v>
      </c>
      <c r="E59" s="1" t="s">
        <v>0</v>
      </c>
    </row>
    <row r="60" spans="1:5" x14ac:dyDescent="0.3">
      <c r="A60" t="s">
        <v>62</v>
      </c>
      <c r="B60" s="1"/>
      <c r="C60" s="1" t="s">
        <v>61</v>
      </c>
      <c r="D60" s="1">
        <v>3</v>
      </c>
      <c r="E60" s="1" t="s">
        <v>0</v>
      </c>
    </row>
    <row r="61" spans="1:5" x14ac:dyDescent="0.3">
      <c r="A61" t="s">
        <v>262</v>
      </c>
      <c r="B61" s="1"/>
      <c r="C61" s="1" t="s">
        <v>56</v>
      </c>
      <c r="D61" s="1">
        <v>3</v>
      </c>
      <c r="E61" s="1" t="s">
        <v>0</v>
      </c>
    </row>
    <row r="62" spans="1:5" x14ac:dyDescent="0.3">
      <c r="A62" t="s">
        <v>263</v>
      </c>
      <c r="B62" s="1"/>
      <c r="C62" s="1" t="s">
        <v>56</v>
      </c>
      <c r="D62" s="1">
        <v>3</v>
      </c>
      <c r="E62" s="1" t="s">
        <v>0</v>
      </c>
    </row>
    <row r="63" spans="1:5" x14ac:dyDescent="0.3">
      <c r="A63" t="s">
        <v>84</v>
      </c>
      <c r="B63" s="1"/>
      <c r="C63" s="1" t="s">
        <v>83</v>
      </c>
      <c r="D63" s="1">
        <v>3</v>
      </c>
      <c r="E63" s="1" t="s">
        <v>0</v>
      </c>
    </row>
    <row r="64" spans="1:5" x14ac:dyDescent="0.3">
      <c r="A64" t="s">
        <v>64</v>
      </c>
      <c r="B64" s="1"/>
      <c r="C64" s="1" t="s">
        <v>63</v>
      </c>
      <c r="D64" s="1">
        <v>3</v>
      </c>
      <c r="E64" s="1" t="s">
        <v>0</v>
      </c>
    </row>
    <row r="65" spans="1:5" x14ac:dyDescent="0.3">
      <c r="A65" t="s">
        <v>220</v>
      </c>
      <c r="B65" s="1"/>
      <c r="C65" s="1" t="s">
        <v>219</v>
      </c>
      <c r="D65" s="1">
        <v>2</v>
      </c>
      <c r="E65" s="1" t="s">
        <v>0</v>
      </c>
    </row>
    <row r="66" spans="1:5" x14ac:dyDescent="0.3">
      <c r="A66" t="s">
        <v>53</v>
      </c>
      <c r="B66" s="1"/>
      <c r="C66" s="1" t="s">
        <v>52</v>
      </c>
      <c r="D66" s="1">
        <v>3</v>
      </c>
      <c r="E66" s="1" t="s">
        <v>0</v>
      </c>
    </row>
    <row r="67" spans="1:5" x14ac:dyDescent="0.3">
      <c r="A67" t="s">
        <v>47</v>
      </c>
      <c r="B67" s="1"/>
      <c r="C67" s="1" t="s">
        <v>51</v>
      </c>
      <c r="D67" s="1">
        <v>3</v>
      </c>
      <c r="E67" s="1" t="s">
        <v>0</v>
      </c>
    </row>
    <row r="68" spans="1:5" x14ac:dyDescent="0.3">
      <c r="A68" t="s">
        <v>47</v>
      </c>
      <c r="B68" s="1"/>
      <c r="C68" s="1" t="s">
        <v>46</v>
      </c>
      <c r="D68" s="1">
        <v>3</v>
      </c>
      <c r="E68" s="1" t="s">
        <v>0</v>
      </c>
    </row>
    <row r="69" spans="1:5" x14ac:dyDescent="0.3">
      <c r="A69" t="s">
        <v>39</v>
      </c>
      <c r="B69" s="1"/>
      <c r="C69" s="1" t="s">
        <v>38</v>
      </c>
      <c r="D69" s="1">
        <v>3</v>
      </c>
      <c r="E69" s="1" t="s">
        <v>0</v>
      </c>
    </row>
    <row r="70" spans="1:5" x14ac:dyDescent="0.3">
      <c r="A70" t="s">
        <v>43</v>
      </c>
      <c r="B70" s="1"/>
      <c r="C70" s="1" t="s">
        <v>42</v>
      </c>
      <c r="D70" s="1">
        <v>3</v>
      </c>
      <c r="E70" s="1" t="s">
        <v>0</v>
      </c>
    </row>
    <row r="71" spans="1:5" x14ac:dyDescent="0.3">
      <c r="A71" t="s">
        <v>35</v>
      </c>
      <c r="B71" s="1"/>
      <c r="C71" s="1" t="s">
        <v>34</v>
      </c>
      <c r="D71" s="1">
        <v>3</v>
      </c>
      <c r="E71" s="1" t="s">
        <v>0</v>
      </c>
    </row>
    <row r="72" spans="1:5" x14ac:dyDescent="0.3">
      <c r="A72" t="s">
        <v>33</v>
      </c>
      <c r="B72" s="1"/>
      <c r="C72" s="1" t="s">
        <v>32</v>
      </c>
      <c r="D72" s="1">
        <v>3</v>
      </c>
      <c r="E72" s="1" t="s">
        <v>0</v>
      </c>
    </row>
    <row r="73" spans="1:5" x14ac:dyDescent="0.3">
      <c r="A73" t="s">
        <v>55</v>
      </c>
      <c r="B73" s="1"/>
      <c r="C73" s="1" t="s">
        <v>54</v>
      </c>
      <c r="D73" s="1">
        <v>3</v>
      </c>
      <c r="E73" s="1" t="s">
        <v>0</v>
      </c>
    </row>
    <row r="74" spans="1:5" x14ac:dyDescent="0.3">
      <c r="A74" t="s">
        <v>45</v>
      </c>
      <c r="B74" s="1"/>
      <c r="C74" s="1" t="s">
        <v>44</v>
      </c>
      <c r="D74" s="1">
        <v>3</v>
      </c>
      <c r="E74" s="1" t="s">
        <v>0</v>
      </c>
    </row>
    <row r="75" spans="1:5" x14ac:dyDescent="0.3">
      <c r="A75" t="s">
        <v>50</v>
      </c>
      <c r="B75" s="1"/>
      <c r="C75" s="1" t="s">
        <v>49</v>
      </c>
      <c r="D75" s="1">
        <v>3</v>
      </c>
      <c r="E75" s="1" t="s">
        <v>0</v>
      </c>
    </row>
    <row r="76" spans="1:5" x14ac:dyDescent="0.3">
      <c r="A76" t="s">
        <v>72</v>
      </c>
      <c r="B76" s="1"/>
      <c r="C76" s="1" t="s">
        <v>71</v>
      </c>
      <c r="D76" s="1">
        <v>3</v>
      </c>
      <c r="E76" s="1" t="s">
        <v>0</v>
      </c>
    </row>
    <row r="77" spans="1:5" x14ac:dyDescent="0.3">
      <c r="A77" t="s">
        <v>41</v>
      </c>
      <c r="B77" s="1"/>
      <c r="C77" s="1" t="s">
        <v>40</v>
      </c>
      <c r="D77" s="1">
        <v>3</v>
      </c>
      <c r="E77" s="1" t="s">
        <v>0</v>
      </c>
    </row>
    <row r="78" spans="1:5" x14ac:dyDescent="0.3">
      <c r="A78" t="s">
        <v>86</v>
      </c>
      <c r="B78" s="1"/>
      <c r="C78" s="1" t="s">
        <v>85</v>
      </c>
      <c r="D78" s="1">
        <v>3</v>
      </c>
      <c r="E78" s="1" t="s">
        <v>0</v>
      </c>
    </row>
    <row r="79" spans="1:5" x14ac:dyDescent="0.3">
      <c r="A79" t="s">
        <v>31</v>
      </c>
      <c r="B79" s="1"/>
      <c r="C79" s="1" t="s">
        <v>150</v>
      </c>
      <c r="D79" s="1">
        <v>1</v>
      </c>
      <c r="E79" s="1" t="s">
        <v>149</v>
      </c>
    </row>
    <row r="80" spans="1:5" x14ac:dyDescent="0.3">
      <c r="A80" t="s">
        <v>31</v>
      </c>
      <c r="B80" s="1"/>
      <c r="C80" s="1" t="s">
        <v>30</v>
      </c>
      <c r="D80" s="1">
        <v>3</v>
      </c>
      <c r="E80" s="1" t="s">
        <v>0</v>
      </c>
    </row>
    <row r="81" spans="1:5" x14ac:dyDescent="0.3">
      <c r="A81" t="s">
        <v>37</v>
      </c>
      <c r="B81" s="1"/>
      <c r="C81" s="1" t="s">
        <v>48</v>
      </c>
      <c r="D81" s="1">
        <v>3</v>
      </c>
      <c r="E81" s="1" t="s">
        <v>0</v>
      </c>
    </row>
    <row r="82" spans="1:5" x14ac:dyDescent="0.3">
      <c r="A82" t="s">
        <v>37</v>
      </c>
      <c r="B82" s="1"/>
      <c r="C82" s="1" t="s">
        <v>36</v>
      </c>
      <c r="D82" s="1">
        <v>3</v>
      </c>
      <c r="E82" s="1" t="s">
        <v>0</v>
      </c>
    </row>
    <row r="83" spans="1:5" x14ac:dyDescent="0.3">
      <c r="A83" t="s">
        <v>173</v>
      </c>
      <c r="B83" s="1"/>
      <c r="C83" s="1" t="s">
        <v>172</v>
      </c>
      <c r="D83" s="1" t="s">
        <v>169</v>
      </c>
      <c r="E83" s="1" t="s">
        <v>149</v>
      </c>
    </row>
    <row r="84" spans="1:5" x14ac:dyDescent="0.3">
      <c r="A84" t="s">
        <v>60</v>
      </c>
      <c r="B84" s="1"/>
      <c r="C84" s="1" t="s">
        <v>82</v>
      </c>
      <c r="D84" s="1">
        <v>3</v>
      </c>
      <c r="E84" s="1" t="s">
        <v>0</v>
      </c>
    </row>
    <row r="85" spans="1:5" x14ac:dyDescent="0.3">
      <c r="A85" t="s">
        <v>60</v>
      </c>
      <c r="B85" s="1"/>
      <c r="C85" s="1" t="s">
        <v>59</v>
      </c>
      <c r="D85" s="1">
        <v>3</v>
      </c>
      <c r="E85" s="1" t="s">
        <v>0</v>
      </c>
    </row>
    <row r="86" spans="1:5" x14ac:dyDescent="0.3">
      <c r="A86" t="s">
        <v>60</v>
      </c>
      <c r="B86" s="1"/>
      <c r="C86" s="1" t="s">
        <v>280</v>
      </c>
      <c r="D86" s="1">
        <v>5</v>
      </c>
      <c r="E86" s="1" t="s">
        <v>0</v>
      </c>
    </row>
    <row r="87" spans="1:5" x14ac:dyDescent="0.3">
      <c r="A87" t="s">
        <v>68</v>
      </c>
      <c r="B87" s="1"/>
      <c r="C87" s="1" t="s">
        <v>153</v>
      </c>
      <c r="D87" s="1">
        <v>1</v>
      </c>
      <c r="E87" s="1" t="s">
        <v>149</v>
      </c>
    </row>
    <row r="88" spans="1:5" x14ac:dyDescent="0.3">
      <c r="A88" t="s">
        <v>68</v>
      </c>
      <c r="B88" s="1"/>
      <c r="C88" s="1" t="s">
        <v>67</v>
      </c>
      <c r="D88" s="1">
        <v>3</v>
      </c>
      <c r="E88" s="1" t="s">
        <v>0</v>
      </c>
    </row>
    <row r="89" spans="1:5" x14ac:dyDescent="0.3">
      <c r="A89" t="s">
        <v>176</v>
      </c>
      <c r="B89" s="1"/>
      <c r="C89" s="1" t="s">
        <v>175</v>
      </c>
      <c r="D89" s="1" t="s">
        <v>169</v>
      </c>
      <c r="E89" s="1" t="s">
        <v>149</v>
      </c>
    </row>
    <row r="90" spans="1:5" x14ac:dyDescent="0.3">
      <c r="A90" t="s">
        <v>29</v>
      </c>
      <c r="B90" s="1"/>
      <c r="C90" s="1" t="s">
        <v>28</v>
      </c>
      <c r="D90" s="1">
        <v>3</v>
      </c>
      <c r="E90" s="1" t="s">
        <v>0</v>
      </c>
    </row>
    <row r="91" spans="1:5" x14ac:dyDescent="0.3">
      <c r="A91" t="s">
        <v>90</v>
      </c>
      <c r="B91" s="1"/>
      <c r="C91" s="1" t="s">
        <v>89</v>
      </c>
      <c r="D91" s="1">
        <v>3</v>
      </c>
      <c r="E91" s="1" t="s">
        <v>0</v>
      </c>
    </row>
    <row r="92" spans="1:5" x14ac:dyDescent="0.3">
      <c r="A92" t="s">
        <v>27</v>
      </c>
      <c r="B92" s="1"/>
      <c r="C92" s="1" t="s">
        <v>26</v>
      </c>
      <c r="D92" s="1">
        <v>4</v>
      </c>
      <c r="E92" s="1" t="s">
        <v>0</v>
      </c>
    </row>
    <row r="93" spans="1:5" x14ac:dyDescent="0.3">
      <c r="A93" t="s">
        <v>229</v>
      </c>
      <c r="B93" s="1"/>
      <c r="C93" s="1" t="s">
        <v>228</v>
      </c>
      <c r="D93" s="1">
        <v>2</v>
      </c>
      <c r="E93" s="1" t="s">
        <v>0</v>
      </c>
    </row>
    <row r="94" spans="1:5" x14ac:dyDescent="0.3">
      <c r="A94" t="s">
        <v>229</v>
      </c>
      <c r="B94" s="1"/>
      <c r="C94" s="1" t="s">
        <v>273</v>
      </c>
      <c r="D94" s="1">
        <v>5</v>
      </c>
      <c r="E94" s="1" t="s">
        <v>0</v>
      </c>
    </row>
    <row r="95" spans="1:5" x14ac:dyDescent="0.3">
      <c r="A95" t="s">
        <v>70</v>
      </c>
      <c r="B95" s="1"/>
      <c r="C95" s="1" t="s">
        <v>69</v>
      </c>
      <c r="D95" s="1">
        <v>3</v>
      </c>
      <c r="E95" s="1" t="s">
        <v>0</v>
      </c>
    </row>
    <row r="96" spans="1:5" x14ac:dyDescent="0.3">
      <c r="A96" t="s">
        <v>227</v>
      </c>
      <c r="B96" s="1"/>
      <c r="C96" s="1" t="s">
        <v>177</v>
      </c>
      <c r="D96" s="1">
        <v>2</v>
      </c>
      <c r="E96" s="1" t="s">
        <v>0</v>
      </c>
    </row>
    <row r="97" spans="1:5" x14ac:dyDescent="0.3">
      <c r="A97" t="s">
        <v>178</v>
      </c>
      <c r="B97" s="1"/>
      <c r="C97" s="1" t="s">
        <v>177</v>
      </c>
      <c r="D97" s="1" t="s">
        <v>169</v>
      </c>
      <c r="E97" s="1" t="s">
        <v>149</v>
      </c>
    </row>
    <row r="98" spans="1:5" x14ac:dyDescent="0.3">
      <c r="A98" t="s">
        <v>198</v>
      </c>
      <c r="B98" s="1"/>
      <c r="C98" s="1" t="s">
        <v>197</v>
      </c>
      <c r="D98" s="1">
        <v>2</v>
      </c>
      <c r="E98" s="1" t="s">
        <v>0</v>
      </c>
    </row>
    <row r="99" spans="1:5" x14ac:dyDescent="0.3">
      <c r="A99" t="s">
        <v>198</v>
      </c>
      <c r="B99" s="1"/>
      <c r="C99" s="1" t="s">
        <v>279</v>
      </c>
      <c r="D99" s="1">
        <v>5</v>
      </c>
      <c r="E99" s="1" t="s">
        <v>0</v>
      </c>
    </row>
    <row r="100" spans="1:5" x14ac:dyDescent="0.3">
      <c r="A100" t="s">
        <v>198</v>
      </c>
      <c r="B100" s="1"/>
      <c r="C100" s="1" t="s">
        <v>282</v>
      </c>
      <c r="D100" s="1">
        <v>5</v>
      </c>
      <c r="E100" s="1" t="s">
        <v>0</v>
      </c>
    </row>
    <row r="101" spans="1:5" x14ac:dyDescent="0.3">
      <c r="A101" t="s">
        <v>264</v>
      </c>
      <c r="B101" s="1" t="s">
        <v>265</v>
      </c>
      <c r="C101" s="1" t="s">
        <v>12</v>
      </c>
      <c r="D101" s="1">
        <v>4</v>
      </c>
      <c r="E101" s="1" t="s">
        <v>0</v>
      </c>
    </row>
    <row r="102" spans="1:5" x14ac:dyDescent="0.3">
      <c r="A102" t="s">
        <v>264</v>
      </c>
      <c r="B102" s="1" t="s">
        <v>265</v>
      </c>
      <c r="C102" s="1" t="s">
        <v>11</v>
      </c>
      <c r="D102" s="1">
        <v>4</v>
      </c>
      <c r="E102" s="1" t="s">
        <v>0</v>
      </c>
    </row>
    <row r="103" spans="1:5" x14ac:dyDescent="0.3">
      <c r="A103" t="s">
        <v>264</v>
      </c>
      <c r="B103" s="1" t="s">
        <v>265</v>
      </c>
      <c r="C103" s="1" t="s">
        <v>10</v>
      </c>
      <c r="D103" s="1">
        <v>4</v>
      </c>
      <c r="E103" s="1" t="s">
        <v>0</v>
      </c>
    </row>
    <row r="104" spans="1:5" x14ac:dyDescent="0.3">
      <c r="A104" t="s">
        <v>264</v>
      </c>
      <c r="B104" s="1" t="s">
        <v>265</v>
      </c>
      <c r="C104" s="1" t="s">
        <v>9</v>
      </c>
      <c r="D104" s="1">
        <v>4</v>
      </c>
      <c r="E104" s="1" t="s">
        <v>0</v>
      </c>
    </row>
    <row r="105" spans="1:5" x14ac:dyDescent="0.3">
      <c r="A105" t="s">
        <v>264</v>
      </c>
      <c r="B105" s="1" t="s">
        <v>265</v>
      </c>
      <c r="C105" s="1" t="s">
        <v>8</v>
      </c>
      <c r="D105" s="1">
        <v>4</v>
      </c>
      <c r="E105" s="1" t="s">
        <v>0</v>
      </c>
    </row>
    <row r="106" spans="1:5" x14ac:dyDescent="0.3">
      <c r="A106" t="s">
        <v>264</v>
      </c>
      <c r="B106" s="1" t="s">
        <v>265</v>
      </c>
      <c r="C106" s="1" t="s">
        <v>7</v>
      </c>
      <c r="D106" s="1">
        <v>4</v>
      </c>
      <c r="E106" s="1" t="s">
        <v>0</v>
      </c>
    </row>
    <row r="107" spans="1:5" x14ac:dyDescent="0.3">
      <c r="A107" t="s">
        <v>264</v>
      </c>
      <c r="B107" s="1" t="s">
        <v>265</v>
      </c>
      <c r="C107" s="1" t="s">
        <v>6</v>
      </c>
      <c r="D107" s="1">
        <v>4</v>
      </c>
      <c r="E107" s="1" t="s">
        <v>0</v>
      </c>
    </row>
    <row r="108" spans="1:5" x14ac:dyDescent="0.3">
      <c r="A108" t="s">
        <v>264</v>
      </c>
      <c r="B108" s="1" t="s">
        <v>265</v>
      </c>
      <c r="C108" s="1" t="s">
        <v>5</v>
      </c>
      <c r="D108" s="1">
        <v>4</v>
      </c>
      <c r="E108" s="1" t="s">
        <v>0</v>
      </c>
    </row>
    <row r="109" spans="1:5" x14ac:dyDescent="0.3">
      <c r="A109" t="s">
        <v>264</v>
      </c>
      <c r="B109" s="1" t="s">
        <v>265</v>
      </c>
      <c r="C109" s="1" t="s">
        <v>4</v>
      </c>
      <c r="D109" s="1">
        <v>4</v>
      </c>
      <c r="E109" s="1" t="s">
        <v>0</v>
      </c>
    </row>
    <row r="110" spans="1:5" x14ac:dyDescent="0.3">
      <c r="A110" t="s">
        <v>264</v>
      </c>
      <c r="B110" s="1" t="s">
        <v>265</v>
      </c>
      <c r="C110" s="1" t="s">
        <v>3</v>
      </c>
      <c r="D110" s="1">
        <v>4</v>
      </c>
      <c r="E110" s="1" t="s">
        <v>0</v>
      </c>
    </row>
    <row r="111" spans="1:5" x14ac:dyDescent="0.3">
      <c r="A111" t="s">
        <v>264</v>
      </c>
      <c r="B111" s="1" t="s">
        <v>265</v>
      </c>
      <c r="C111" s="1" t="s">
        <v>2</v>
      </c>
      <c r="D111" s="1">
        <v>4</v>
      </c>
      <c r="E111" s="1" t="s">
        <v>0</v>
      </c>
    </row>
    <row r="112" spans="1:5" x14ac:dyDescent="0.3">
      <c r="A112" t="s">
        <v>264</v>
      </c>
      <c r="B112" s="1" t="s">
        <v>265</v>
      </c>
      <c r="C112" s="1" t="s">
        <v>1</v>
      </c>
      <c r="D112" s="1">
        <v>4</v>
      </c>
      <c r="E112" s="1" t="s">
        <v>0</v>
      </c>
    </row>
    <row r="113" spans="1:5" x14ac:dyDescent="0.3">
      <c r="A113" t="s">
        <v>264</v>
      </c>
      <c r="B113" s="1" t="s">
        <v>265</v>
      </c>
      <c r="C113" s="1" t="s">
        <v>285</v>
      </c>
      <c r="D113" s="1">
        <v>5</v>
      </c>
      <c r="E113" s="1" t="s">
        <v>0</v>
      </c>
    </row>
    <row r="114" spans="1:5" x14ac:dyDescent="0.3">
      <c r="A114" t="s">
        <v>264</v>
      </c>
      <c r="B114" s="1" t="s">
        <v>265</v>
      </c>
      <c r="C114" s="1" t="s">
        <v>286</v>
      </c>
      <c r="D114" s="1">
        <v>5</v>
      </c>
      <c r="E114" s="1" t="s">
        <v>0</v>
      </c>
    </row>
    <row r="115" spans="1:5" x14ac:dyDescent="0.3">
      <c r="A115" t="s">
        <v>264</v>
      </c>
      <c r="B115" s="1" t="s">
        <v>265</v>
      </c>
      <c r="C115" s="1" t="s">
        <v>287</v>
      </c>
      <c r="D115" s="1">
        <v>5</v>
      </c>
      <c r="E115" s="1" t="s">
        <v>0</v>
      </c>
    </row>
    <row r="116" spans="1:5" x14ac:dyDescent="0.3">
      <c r="A116" t="s">
        <v>264</v>
      </c>
      <c r="B116" s="1" t="s">
        <v>265</v>
      </c>
      <c r="C116" s="1" t="s">
        <v>5</v>
      </c>
      <c r="D116" s="1">
        <v>5</v>
      </c>
      <c r="E116" s="1" t="s">
        <v>0</v>
      </c>
    </row>
    <row r="117" spans="1:5" x14ac:dyDescent="0.3">
      <c r="A117" t="s">
        <v>264</v>
      </c>
      <c r="B117" s="1" t="s">
        <v>265</v>
      </c>
      <c r="C117" s="1" t="s">
        <v>288</v>
      </c>
      <c r="D117" s="1">
        <v>5</v>
      </c>
      <c r="E117" s="1" t="s">
        <v>0</v>
      </c>
    </row>
    <row r="118" spans="1:5" x14ac:dyDescent="0.3">
      <c r="A118" t="s">
        <v>264</v>
      </c>
      <c r="B118" s="1" t="s">
        <v>265</v>
      </c>
      <c r="C118" s="1" t="s">
        <v>289</v>
      </c>
      <c r="D118" s="1">
        <v>5</v>
      </c>
      <c r="E118" s="1" t="s">
        <v>0</v>
      </c>
    </row>
    <row r="119" spans="1:5" x14ac:dyDescent="0.3">
      <c r="A119" t="s">
        <v>264</v>
      </c>
      <c r="B119" s="1" t="s">
        <v>265</v>
      </c>
      <c r="C119" s="1" t="s">
        <v>7</v>
      </c>
      <c r="D119" s="1">
        <v>5</v>
      </c>
      <c r="E119" s="1" t="s">
        <v>0</v>
      </c>
    </row>
    <row r="120" spans="1:5" x14ac:dyDescent="0.3">
      <c r="A120" t="s">
        <v>264</v>
      </c>
      <c r="B120" s="1" t="s">
        <v>265</v>
      </c>
      <c r="C120" s="1" t="s">
        <v>290</v>
      </c>
      <c r="D120" s="1">
        <v>5</v>
      </c>
      <c r="E120" s="1" t="s">
        <v>0</v>
      </c>
    </row>
    <row r="121" spans="1:5" x14ac:dyDescent="0.3">
      <c r="A121" t="s">
        <v>264</v>
      </c>
      <c r="B121" s="1" t="s">
        <v>265</v>
      </c>
      <c r="C121" s="1" t="s">
        <v>291</v>
      </c>
      <c r="D121" s="1">
        <v>5</v>
      </c>
      <c r="E121" s="1" t="s">
        <v>0</v>
      </c>
    </row>
    <row r="122" spans="1:5" x14ac:dyDescent="0.3">
      <c r="A122" t="s">
        <v>264</v>
      </c>
      <c r="B122" s="1" t="s">
        <v>265</v>
      </c>
      <c r="C122" s="1" t="s">
        <v>292</v>
      </c>
      <c r="D122" s="1">
        <v>5</v>
      </c>
      <c r="E122" s="1" t="s">
        <v>0</v>
      </c>
    </row>
    <row r="123" spans="1:5" x14ac:dyDescent="0.3">
      <c r="A123" t="s">
        <v>264</v>
      </c>
      <c r="B123" s="1" t="s">
        <v>265</v>
      </c>
      <c r="C123" s="1" t="s">
        <v>293</v>
      </c>
      <c r="D123" s="1">
        <v>5</v>
      </c>
      <c r="E123" s="1" t="s">
        <v>0</v>
      </c>
    </row>
    <row r="124" spans="1:5" x14ac:dyDescent="0.3">
      <c r="A124" t="s">
        <v>264</v>
      </c>
      <c r="B124" s="1" t="s">
        <v>265</v>
      </c>
      <c r="C124" s="1" t="s">
        <v>294</v>
      </c>
      <c r="D124" s="1">
        <v>5</v>
      </c>
      <c r="E124" s="1" t="s">
        <v>0</v>
      </c>
    </row>
    <row r="125" spans="1:5" x14ac:dyDescent="0.3">
      <c r="A125" t="s">
        <v>264</v>
      </c>
      <c r="B125" s="1" t="s">
        <v>265</v>
      </c>
      <c r="C125" s="1" t="s">
        <v>295</v>
      </c>
      <c r="D125" s="1">
        <v>5</v>
      </c>
      <c r="E125" s="1" t="s">
        <v>0</v>
      </c>
    </row>
    <row r="126" spans="1:5" x14ac:dyDescent="0.3">
      <c r="A126" t="s">
        <v>264</v>
      </c>
      <c r="B126" s="1" t="s">
        <v>265</v>
      </c>
      <c r="C126" s="1" t="s">
        <v>296</v>
      </c>
      <c r="D126" s="1">
        <v>5</v>
      </c>
      <c r="E126" s="1" t="s">
        <v>0</v>
      </c>
    </row>
    <row r="127" spans="1:5" x14ac:dyDescent="0.3">
      <c r="A127" t="s">
        <v>222</v>
      </c>
      <c r="B127" s="1"/>
      <c r="C127" s="1" t="s">
        <v>221</v>
      </c>
      <c r="D127" s="1">
        <v>2</v>
      </c>
      <c r="E127" s="1" t="s">
        <v>0</v>
      </c>
    </row>
    <row r="128" spans="1:5" x14ac:dyDescent="0.3">
      <c r="A128" t="s">
        <v>248</v>
      </c>
      <c r="B128" s="1"/>
      <c r="C128" s="1" t="s">
        <v>247</v>
      </c>
      <c r="D128" s="1">
        <v>2</v>
      </c>
      <c r="E128" s="1" t="s">
        <v>0</v>
      </c>
    </row>
    <row r="129" spans="1:5" x14ac:dyDescent="0.3">
      <c r="A129" t="s">
        <v>240</v>
      </c>
      <c r="B129" s="1"/>
      <c r="C129" s="1" t="s">
        <v>239</v>
      </c>
      <c r="D129" s="1">
        <v>2</v>
      </c>
      <c r="E129" s="1" t="s">
        <v>0</v>
      </c>
    </row>
    <row r="130" spans="1:5" x14ac:dyDescent="0.3">
      <c r="A130" t="s">
        <v>218</v>
      </c>
      <c r="B130" s="1"/>
      <c r="C130" s="1" t="s">
        <v>217</v>
      </c>
      <c r="D130" s="1">
        <v>2</v>
      </c>
      <c r="E130" s="1" t="s">
        <v>0</v>
      </c>
    </row>
    <row r="131" spans="1:5" x14ac:dyDescent="0.3">
      <c r="A131" t="s">
        <v>271</v>
      </c>
      <c r="B131" s="1"/>
      <c r="C131" s="1" t="s">
        <v>281</v>
      </c>
      <c r="D131" s="1">
        <v>5</v>
      </c>
      <c r="E131" s="1" t="s">
        <v>0</v>
      </c>
    </row>
    <row r="132" spans="1:5" x14ac:dyDescent="0.3">
      <c r="A132" t="s">
        <v>266</v>
      </c>
      <c r="B132" s="1"/>
      <c r="C132" s="1" t="s">
        <v>272</v>
      </c>
      <c r="D132" s="1">
        <v>5</v>
      </c>
      <c r="E132" s="1" t="s">
        <v>0</v>
      </c>
    </row>
    <row r="133" spans="1:5" x14ac:dyDescent="0.3">
      <c r="A133" t="s">
        <v>164</v>
      </c>
      <c r="B133" s="1"/>
      <c r="C133" s="1" t="s">
        <v>163</v>
      </c>
      <c r="D133" s="1">
        <v>1</v>
      </c>
      <c r="E133" s="1" t="s">
        <v>149</v>
      </c>
    </row>
    <row r="134" spans="1:5" x14ac:dyDescent="0.3">
      <c r="A134" t="s">
        <v>160</v>
      </c>
      <c r="B134" s="1"/>
      <c r="C134" s="1" t="s">
        <v>174</v>
      </c>
      <c r="D134" s="1" t="s">
        <v>169</v>
      </c>
      <c r="E134" s="1" t="s">
        <v>149</v>
      </c>
    </row>
    <row r="135" spans="1:5" x14ac:dyDescent="0.3">
      <c r="A135" t="s">
        <v>160</v>
      </c>
      <c r="B135" s="1"/>
      <c r="C135" s="1" t="s">
        <v>174</v>
      </c>
      <c r="D135" s="1" t="s">
        <v>169</v>
      </c>
      <c r="E135" s="1" t="s">
        <v>149</v>
      </c>
    </row>
    <row r="136" spans="1:5" x14ac:dyDescent="0.3">
      <c r="A136" t="s">
        <v>160</v>
      </c>
      <c r="B136" s="1"/>
      <c r="C136" s="1" t="s">
        <v>158</v>
      </c>
      <c r="D136" s="1">
        <v>1</v>
      </c>
      <c r="E136" s="1" t="s">
        <v>149</v>
      </c>
    </row>
    <row r="137" spans="1:5" x14ac:dyDescent="0.3">
      <c r="A137" t="s">
        <v>244</v>
      </c>
      <c r="B137" s="1"/>
      <c r="C137" s="1" t="s">
        <v>243</v>
      </c>
      <c r="D137" s="1">
        <v>2</v>
      </c>
      <c r="E137" s="1" t="s">
        <v>0</v>
      </c>
    </row>
    <row r="138" spans="1:5" x14ac:dyDescent="0.3">
      <c r="A138" t="s">
        <v>226</v>
      </c>
      <c r="B138" s="1"/>
      <c r="C138" s="1" t="s">
        <v>225</v>
      </c>
      <c r="D138" s="1">
        <v>2</v>
      </c>
      <c r="E138" s="1" t="s">
        <v>149</v>
      </c>
    </row>
    <row r="139" spans="1:5" x14ac:dyDescent="0.3">
      <c r="A139" t="s">
        <v>186</v>
      </c>
      <c r="B139" s="1"/>
      <c r="C139" s="1" t="s">
        <v>185</v>
      </c>
      <c r="D139" s="1">
        <v>2</v>
      </c>
      <c r="E139" s="1" t="s">
        <v>0</v>
      </c>
    </row>
    <row r="140" spans="1:5" x14ac:dyDescent="0.3">
      <c r="A140" t="s">
        <v>242</v>
      </c>
      <c r="B140" s="1"/>
      <c r="C140" s="1" t="s">
        <v>241</v>
      </c>
      <c r="D140" s="1">
        <v>2</v>
      </c>
      <c r="E140" s="1" t="s">
        <v>0</v>
      </c>
    </row>
    <row r="141" spans="1:5" x14ac:dyDescent="0.3">
      <c r="A141" t="s">
        <v>208</v>
      </c>
      <c r="B141" s="1"/>
      <c r="C141" s="1" t="s">
        <v>236</v>
      </c>
      <c r="D141" s="1">
        <v>2</v>
      </c>
      <c r="E141" s="1" t="s">
        <v>0</v>
      </c>
    </row>
    <row r="142" spans="1:5" x14ac:dyDescent="0.3">
      <c r="A142" t="s">
        <v>208</v>
      </c>
      <c r="B142" s="1"/>
      <c r="C142" s="1" t="s">
        <v>207</v>
      </c>
      <c r="D142" s="1">
        <v>2</v>
      </c>
      <c r="E142" s="1" t="s">
        <v>0</v>
      </c>
    </row>
    <row r="143" spans="1:5" x14ac:dyDescent="0.3">
      <c r="A143" t="s">
        <v>152</v>
      </c>
      <c r="B143" s="1"/>
      <c r="C143" s="1" t="s">
        <v>151</v>
      </c>
      <c r="D143" s="1">
        <v>1</v>
      </c>
      <c r="E143" s="1" t="s">
        <v>149</v>
      </c>
    </row>
    <row r="144" spans="1:5" x14ac:dyDescent="0.3">
      <c r="A144" t="s">
        <v>269</v>
      </c>
      <c r="B144" s="1"/>
      <c r="C144" s="1" t="s">
        <v>276</v>
      </c>
      <c r="D144" s="1">
        <v>5</v>
      </c>
      <c r="E144" s="1" t="s">
        <v>0</v>
      </c>
    </row>
    <row r="145" spans="1:5" x14ac:dyDescent="0.3">
      <c r="A145" t="s">
        <v>231</v>
      </c>
      <c r="B145" s="1"/>
      <c r="C145" s="1" t="s">
        <v>230</v>
      </c>
      <c r="D145" s="1">
        <v>2</v>
      </c>
      <c r="E145" s="1" t="s">
        <v>0</v>
      </c>
    </row>
    <row r="146" spans="1:5" x14ac:dyDescent="0.3">
      <c r="A146" t="s">
        <v>224</v>
      </c>
      <c r="B146" s="1"/>
      <c r="C146" s="1" t="s">
        <v>246</v>
      </c>
      <c r="D146" s="1">
        <v>2</v>
      </c>
      <c r="E146" s="1" t="s">
        <v>0</v>
      </c>
    </row>
    <row r="147" spans="1:5" x14ac:dyDescent="0.3">
      <c r="A147" t="s">
        <v>224</v>
      </c>
      <c r="B147" s="1"/>
      <c r="C147" s="1" t="s">
        <v>223</v>
      </c>
      <c r="D147" s="1">
        <v>2</v>
      </c>
      <c r="E147" s="1" t="s">
        <v>149</v>
      </c>
    </row>
    <row r="148" spans="1:5" x14ac:dyDescent="0.3">
      <c r="A148" t="s">
        <v>157</v>
      </c>
      <c r="B148" s="1"/>
      <c r="C148" s="1" t="s">
        <v>233</v>
      </c>
      <c r="D148" s="1">
        <v>2</v>
      </c>
      <c r="E148" s="1" t="s">
        <v>0</v>
      </c>
    </row>
    <row r="149" spans="1:5" x14ac:dyDescent="0.3">
      <c r="A149" t="s">
        <v>157</v>
      </c>
      <c r="B149" s="1"/>
      <c r="C149" s="1" t="s">
        <v>156</v>
      </c>
      <c r="D149" s="1">
        <v>1</v>
      </c>
      <c r="E149" s="1" t="s">
        <v>149</v>
      </c>
    </row>
    <row r="150" spans="1:5" x14ac:dyDescent="0.3">
      <c r="A150" t="s">
        <v>216</v>
      </c>
      <c r="B150" s="1"/>
      <c r="C150" s="1" t="s">
        <v>245</v>
      </c>
      <c r="D150" s="1">
        <v>2</v>
      </c>
      <c r="E150" s="1" t="s">
        <v>0</v>
      </c>
    </row>
    <row r="151" spans="1:5" x14ac:dyDescent="0.3">
      <c r="A151" t="s">
        <v>216</v>
      </c>
      <c r="B151" s="1"/>
      <c r="C151" s="1" t="s">
        <v>215</v>
      </c>
      <c r="D151" s="1">
        <v>2</v>
      </c>
      <c r="E151" s="1" t="s">
        <v>0</v>
      </c>
    </row>
    <row r="152" spans="1:5" x14ac:dyDescent="0.3">
      <c r="A152" t="s">
        <v>212</v>
      </c>
      <c r="B152" s="1"/>
      <c r="C152" s="1" t="s">
        <v>211</v>
      </c>
      <c r="D152" s="1">
        <v>2</v>
      </c>
      <c r="E152" s="1" t="s">
        <v>0</v>
      </c>
    </row>
    <row r="153" spans="1:5" x14ac:dyDescent="0.3">
      <c r="A153" t="s">
        <v>268</v>
      </c>
      <c r="B153" s="1"/>
      <c r="C153" s="1" t="s">
        <v>275</v>
      </c>
      <c r="D153" s="1">
        <v>5</v>
      </c>
      <c r="E153" s="1" t="s">
        <v>0</v>
      </c>
    </row>
    <row r="154" spans="1:5" x14ac:dyDescent="0.3">
      <c r="A154" t="s">
        <v>190</v>
      </c>
      <c r="B154" s="1"/>
      <c r="C154" s="1" t="s">
        <v>189</v>
      </c>
      <c r="D154" s="1">
        <v>2</v>
      </c>
      <c r="E154" s="1" t="s">
        <v>0</v>
      </c>
    </row>
    <row r="155" spans="1:5" x14ac:dyDescent="0.3">
      <c r="A155" t="s">
        <v>190</v>
      </c>
      <c r="B155" s="1"/>
      <c r="C155" s="1" t="s">
        <v>284</v>
      </c>
      <c r="D155" s="1">
        <v>5</v>
      </c>
      <c r="E155" s="1" t="s">
        <v>0</v>
      </c>
    </row>
    <row r="156" spans="1:5" x14ac:dyDescent="0.3">
      <c r="A156" t="s">
        <v>192</v>
      </c>
      <c r="B156" s="1"/>
      <c r="C156" s="1" t="s">
        <v>191</v>
      </c>
      <c r="D156" s="1">
        <v>2</v>
      </c>
      <c r="E156" s="1" t="s">
        <v>0</v>
      </c>
    </row>
    <row r="157" spans="1:5" x14ac:dyDescent="0.3">
      <c r="A157" t="s">
        <v>214</v>
      </c>
      <c r="B157" s="1"/>
      <c r="C157" s="1" t="s">
        <v>213</v>
      </c>
      <c r="D157" s="1">
        <v>2</v>
      </c>
      <c r="E157" s="1" t="s">
        <v>0</v>
      </c>
    </row>
    <row r="158" spans="1:5" x14ac:dyDescent="0.3">
      <c r="A158" t="s">
        <v>214</v>
      </c>
      <c r="B158" s="1"/>
      <c r="C158" s="1" t="s">
        <v>278</v>
      </c>
      <c r="D158" s="1">
        <v>5</v>
      </c>
      <c r="E158" s="1" t="s">
        <v>0</v>
      </c>
    </row>
    <row r="159" spans="1:5" x14ac:dyDescent="0.3">
      <c r="A159" t="s">
        <v>238</v>
      </c>
      <c r="B159" s="1"/>
      <c r="C159" s="1" t="s">
        <v>237</v>
      </c>
      <c r="D159" s="1">
        <v>2</v>
      </c>
      <c r="E159" s="1" t="s">
        <v>0</v>
      </c>
    </row>
    <row r="160" spans="1:5" x14ac:dyDescent="0.3">
      <c r="A160" t="s">
        <v>166</v>
      </c>
      <c r="B160" s="1"/>
      <c r="C160" s="1" t="s">
        <v>165</v>
      </c>
      <c r="D160" s="1">
        <v>1</v>
      </c>
      <c r="E160" s="1" t="s">
        <v>149</v>
      </c>
    </row>
    <row r="161" spans="1:5" x14ac:dyDescent="0.3">
      <c r="A161" t="s">
        <v>159</v>
      </c>
      <c r="B161" s="1"/>
      <c r="C161" s="1" t="s">
        <v>158</v>
      </c>
      <c r="D161" s="1">
        <v>1</v>
      </c>
      <c r="E161" s="1" t="s">
        <v>149</v>
      </c>
    </row>
    <row r="162" spans="1:5" x14ac:dyDescent="0.3">
      <c r="A162" t="s">
        <v>162</v>
      </c>
      <c r="B162" s="1"/>
      <c r="C162" s="1" t="s">
        <v>161</v>
      </c>
      <c r="D162" s="1">
        <v>1</v>
      </c>
      <c r="E162" s="1" t="s">
        <v>149</v>
      </c>
    </row>
    <row r="163" spans="1:5" x14ac:dyDescent="0.3">
      <c r="A163" t="s">
        <v>204</v>
      </c>
      <c r="B163" s="1"/>
      <c r="C163" s="1" t="s">
        <v>203</v>
      </c>
      <c r="D163" s="1">
        <v>2</v>
      </c>
      <c r="E163" s="1" t="s">
        <v>0</v>
      </c>
    </row>
    <row r="164" spans="1:5" x14ac:dyDescent="0.3">
      <c r="A164" t="s">
        <v>200</v>
      </c>
      <c r="B164" s="1"/>
      <c r="C164" s="1" t="s">
        <v>199</v>
      </c>
      <c r="D164" s="1">
        <v>2</v>
      </c>
      <c r="E164" s="1" t="s">
        <v>0</v>
      </c>
    </row>
    <row r="165" spans="1:5" x14ac:dyDescent="0.3">
      <c r="A165" t="s">
        <v>267</v>
      </c>
      <c r="B165" s="1"/>
      <c r="C165" s="1" t="s">
        <v>274</v>
      </c>
      <c r="D165" s="1">
        <v>5</v>
      </c>
      <c r="E165" s="1" t="s">
        <v>0</v>
      </c>
    </row>
    <row r="166" spans="1:5" x14ac:dyDescent="0.3">
      <c r="A166" t="s">
        <v>267</v>
      </c>
      <c r="B166" s="1"/>
      <c r="C166" s="1" t="s">
        <v>283</v>
      </c>
      <c r="D166" s="1">
        <v>5</v>
      </c>
      <c r="E166" s="1" t="s">
        <v>0</v>
      </c>
    </row>
    <row r="167" spans="1:5" x14ac:dyDescent="0.3">
      <c r="A167" t="s">
        <v>88</v>
      </c>
      <c r="B167" s="1"/>
      <c r="C167" s="1" t="s">
        <v>87</v>
      </c>
      <c r="D167" s="1">
        <v>3</v>
      </c>
      <c r="E167" s="1" t="s">
        <v>0</v>
      </c>
    </row>
    <row r="168" spans="1:5" x14ac:dyDescent="0.3">
      <c r="A168" t="s">
        <v>168</v>
      </c>
      <c r="B168" s="1"/>
      <c r="C168" s="1" t="s">
        <v>167</v>
      </c>
      <c r="D168" s="1">
        <v>1</v>
      </c>
      <c r="E168" s="1" t="s">
        <v>149</v>
      </c>
    </row>
    <row r="169" spans="1:5" x14ac:dyDescent="0.3">
      <c r="A169" t="s">
        <v>210</v>
      </c>
      <c r="B169" s="1"/>
      <c r="C169" s="1" t="s">
        <v>209</v>
      </c>
      <c r="D169" s="1">
        <v>2</v>
      </c>
      <c r="E169" s="1" t="s">
        <v>0</v>
      </c>
    </row>
    <row r="170" spans="1:5" x14ac:dyDescent="0.3">
      <c r="A170" t="s">
        <v>270</v>
      </c>
      <c r="B170" s="1"/>
      <c r="C170" s="1" t="s">
        <v>277</v>
      </c>
      <c r="D170" s="1">
        <v>5</v>
      </c>
      <c r="E170" s="1" t="s">
        <v>0</v>
      </c>
    </row>
    <row r="171" spans="1:5" x14ac:dyDescent="0.3">
      <c r="A171" t="s">
        <v>194</v>
      </c>
      <c r="B171" s="1"/>
      <c r="C171" s="1" t="s">
        <v>193</v>
      </c>
      <c r="D171" s="1">
        <v>2</v>
      </c>
      <c r="E171" s="1" t="s">
        <v>0</v>
      </c>
    </row>
    <row r="172" spans="1:5" x14ac:dyDescent="0.3">
      <c r="A172" t="s">
        <v>188</v>
      </c>
      <c r="B172" s="1"/>
      <c r="C172" s="1" t="s">
        <v>187</v>
      </c>
      <c r="D172" s="1">
        <v>2</v>
      </c>
      <c r="E172" s="1" t="s">
        <v>0</v>
      </c>
    </row>
    <row r="173" spans="1:5" x14ac:dyDescent="0.3">
      <c r="A173" t="s">
        <v>202</v>
      </c>
      <c r="B173" s="1"/>
      <c r="C173" s="1" t="s">
        <v>201</v>
      </c>
      <c r="D173" s="1">
        <v>2</v>
      </c>
      <c r="E173" s="1" t="s">
        <v>0</v>
      </c>
    </row>
    <row r="174" spans="1:5" x14ac:dyDescent="0.3">
      <c r="A174" t="s">
        <v>232</v>
      </c>
      <c r="B174" s="1"/>
      <c r="C174" s="1" t="s">
        <v>183</v>
      </c>
      <c r="D174" s="1">
        <v>2</v>
      </c>
      <c r="E174" s="1" t="s">
        <v>0</v>
      </c>
    </row>
    <row r="175" spans="1:5" x14ac:dyDescent="0.3">
      <c r="A175" t="s">
        <v>184</v>
      </c>
      <c r="B175" s="1"/>
      <c r="C175" s="1" t="s">
        <v>183</v>
      </c>
      <c r="D175" s="1" t="s">
        <v>169</v>
      </c>
      <c r="E175" s="1" t="s">
        <v>149</v>
      </c>
    </row>
    <row r="176" spans="1:5" x14ac:dyDescent="0.3">
      <c r="A176" t="s">
        <v>182</v>
      </c>
      <c r="B176" s="1"/>
      <c r="C176" s="1" t="s">
        <v>181</v>
      </c>
      <c r="D176" s="1" t="s">
        <v>169</v>
      </c>
      <c r="E176" s="1" t="s">
        <v>149</v>
      </c>
    </row>
    <row r="177" spans="1:5" x14ac:dyDescent="0.3">
      <c r="A177" t="s">
        <v>196</v>
      </c>
      <c r="B177" s="1"/>
      <c r="C177" s="1" t="s">
        <v>195</v>
      </c>
      <c r="D177" s="1">
        <v>2</v>
      </c>
      <c r="E177" s="1" t="s">
        <v>0</v>
      </c>
    </row>
    <row r="178" spans="1:5" x14ac:dyDescent="0.3">
      <c r="A178" t="s">
        <v>235</v>
      </c>
      <c r="B178" s="1"/>
      <c r="C178" s="1" t="s">
        <v>234</v>
      </c>
      <c r="D178" s="1">
        <v>2</v>
      </c>
      <c r="E178" s="1" t="s">
        <v>0</v>
      </c>
    </row>
    <row r="179" spans="1:5" x14ac:dyDescent="0.3">
      <c r="A179" t="s">
        <v>155</v>
      </c>
      <c r="B179" s="1"/>
      <c r="C179" s="1" t="s">
        <v>154</v>
      </c>
      <c r="D179" s="1">
        <v>1</v>
      </c>
      <c r="E179" s="1" t="s">
        <v>149</v>
      </c>
    </row>
    <row r="180" spans="1:5" x14ac:dyDescent="0.3">
      <c r="A180" t="s">
        <v>206</v>
      </c>
      <c r="B180" s="1"/>
      <c r="C180" s="1" t="s">
        <v>205</v>
      </c>
      <c r="D180" s="1">
        <v>2</v>
      </c>
      <c r="E180" s="1" t="s">
        <v>0</v>
      </c>
    </row>
  </sheetData>
  <pageMargins left="0.7" right="0.7" top="0.75" bottom="0.75" header="0.3" footer="0.3"/>
  <pageSetup orientation="portrait"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95D7F-E739-4161-BD0C-53FC796F9546}">
  <dimension ref="A1:K460"/>
  <sheetViews>
    <sheetView topLeftCell="A2" workbookViewId="0">
      <selection activeCell="A2" sqref="A2"/>
    </sheetView>
  </sheetViews>
  <sheetFormatPr defaultRowHeight="14.4" x14ac:dyDescent="0.3"/>
  <cols>
    <col min="1" max="1" width="6.88671875" bestFit="1" customWidth="1"/>
    <col min="3" max="3" width="47" bestFit="1" customWidth="1"/>
    <col min="4" max="4" width="11.77734375" bestFit="1" customWidth="1"/>
    <col min="5" max="5" width="60.21875" bestFit="1" customWidth="1"/>
    <col min="6" max="6" width="13.6640625" bestFit="1" customWidth="1"/>
    <col min="7" max="8" width="60.21875" bestFit="1" customWidth="1"/>
    <col min="9" max="9" width="20.5546875" bestFit="1" customWidth="1"/>
    <col min="10" max="10" width="20.77734375" bestFit="1" customWidth="1"/>
    <col min="11" max="11" width="18.33203125" bestFit="1" customWidth="1"/>
    <col min="12" max="12" width="13.33203125" bestFit="1" customWidth="1"/>
    <col min="13" max="13" width="23" bestFit="1" customWidth="1"/>
    <col min="14" max="14" width="23.109375" bestFit="1" customWidth="1"/>
    <col min="15" max="15" width="13.33203125" bestFit="1" customWidth="1"/>
    <col min="16" max="16" width="16.5546875" bestFit="1" customWidth="1"/>
    <col min="17" max="17" width="9.77734375" bestFit="1" customWidth="1"/>
    <col min="18" max="18" width="10.88671875" bestFit="1" customWidth="1"/>
    <col min="19" max="19" width="56.33203125" bestFit="1" customWidth="1"/>
    <col min="20" max="24" width="10.77734375" bestFit="1" customWidth="1"/>
  </cols>
  <sheetData>
    <row r="1" spans="1:11" x14ac:dyDescent="0.3">
      <c r="A1" t="s">
        <v>314</v>
      </c>
      <c r="B1" t="s">
        <v>315</v>
      </c>
      <c r="C1" t="s">
        <v>797</v>
      </c>
      <c r="D1" t="s">
        <v>316</v>
      </c>
      <c r="E1" t="s">
        <v>317</v>
      </c>
      <c r="F1" t="s">
        <v>318</v>
      </c>
      <c r="G1" t="s">
        <v>319</v>
      </c>
      <c r="H1" t="s">
        <v>320</v>
      </c>
      <c r="I1" t="s">
        <v>321</v>
      </c>
      <c r="J1" t="s">
        <v>322</v>
      </c>
      <c r="K1" t="s">
        <v>323</v>
      </c>
    </row>
    <row r="2" spans="1:11" x14ac:dyDescent="0.3">
      <c r="A2">
        <v>2021</v>
      </c>
      <c r="B2" t="s">
        <v>324</v>
      </c>
      <c r="C2" t="s">
        <v>325</v>
      </c>
      <c r="D2">
        <v>140000011</v>
      </c>
      <c r="E2" t="s">
        <v>329</v>
      </c>
      <c r="F2" t="s">
        <v>330</v>
      </c>
      <c r="G2" t="s">
        <v>331</v>
      </c>
      <c r="H2" t="s">
        <v>332</v>
      </c>
      <c r="I2">
        <v>2</v>
      </c>
      <c r="J2" s="9">
        <v>1.69</v>
      </c>
      <c r="K2" t="s">
        <v>328</v>
      </c>
    </row>
    <row r="3" spans="1:11" x14ac:dyDescent="0.3">
      <c r="A3">
        <v>2021</v>
      </c>
      <c r="B3" t="s">
        <v>324</v>
      </c>
      <c r="C3" t="s">
        <v>325</v>
      </c>
      <c r="D3">
        <v>140000425</v>
      </c>
      <c r="E3" t="s">
        <v>333</v>
      </c>
      <c r="F3" t="s">
        <v>330</v>
      </c>
      <c r="G3" t="s">
        <v>331</v>
      </c>
      <c r="H3" t="s">
        <v>334</v>
      </c>
      <c r="I3">
        <v>7</v>
      </c>
      <c r="J3" s="9">
        <v>13.68</v>
      </c>
      <c r="K3" t="s">
        <v>328</v>
      </c>
    </row>
    <row r="4" spans="1:11" x14ac:dyDescent="0.3">
      <c r="A4">
        <v>2021</v>
      </c>
      <c r="B4" t="s">
        <v>324</v>
      </c>
      <c r="C4" t="s">
        <v>325</v>
      </c>
      <c r="D4">
        <v>140000425</v>
      </c>
      <c r="E4" t="s">
        <v>333</v>
      </c>
      <c r="F4" t="s">
        <v>330</v>
      </c>
      <c r="G4" t="s">
        <v>335</v>
      </c>
      <c r="H4" t="s">
        <v>336</v>
      </c>
      <c r="I4">
        <v>0</v>
      </c>
      <c r="J4" s="9">
        <v>0.36</v>
      </c>
      <c r="K4" t="s">
        <v>328</v>
      </c>
    </row>
    <row r="5" spans="1:11" x14ac:dyDescent="0.3">
      <c r="A5">
        <v>2021</v>
      </c>
      <c r="B5" t="s">
        <v>324</v>
      </c>
      <c r="C5" t="s">
        <v>325</v>
      </c>
      <c r="D5">
        <v>140000012</v>
      </c>
      <c r="E5" t="s">
        <v>337</v>
      </c>
      <c r="F5" t="s">
        <v>330</v>
      </c>
      <c r="G5" t="s">
        <v>331</v>
      </c>
      <c r="H5" t="s">
        <v>334</v>
      </c>
      <c r="I5">
        <v>4</v>
      </c>
      <c r="J5" s="9">
        <v>9.61</v>
      </c>
      <c r="K5" t="s">
        <v>328</v>
      </c>
    </row>
    <row r="6" spans="1:11" x14ac:dyDescent="0.3">
      <c r="A6">
        <v>2021</v>
      </c>
      <c r="B6" t="s">
        <v>324</v>
      </c>
      <c r="C6" t="s">
        <v>325</v>
      </c>
      <c r="D6">
        <v>140000183</v>
      </c>
      <c r="E6" t="s">
        <v>338</v>
      </c>
      <c r="F6" t="s">
        <v>330</v>
      </c>
      <c r="G6" t="s">
        <v>331</v>
      </c>
      <c r="H6" t="s">
        <v>339</v>
      </c>
      <c r="I6">
        <v>5</v>
      </c>
      <c r="J6" s="9">
        <v>5.17</v>
      </c>
      <c r="K6" t="s">
        <v>328</v>
      </c>
    </row>
    <row r="7" spans="1:11" x14ac:dyDescent="0.3">
      <c r="A7">
        <v>2021</v>
      </c>
      <c r="B7" t="s">
        <v>324</v>
      </c>
      <c r="C7" t="s">
        <v>325</v>
      </c>
      <c r="D7">
        <v>140000034</v>
      </c>
      <c r="E7" t="s">
        <v>340</v>
      </c>
      <c r="F7" t="s">
        <v>330</v>
      </c>
      <c r="G7" t="s">
        <v>331</v>
      </c>
      <c r="H7" t="s">
        <v>334</v>
      </c>
      <c r="I7">
        <v>8</v>
      </c>
      <c r="J7" s="9">
        <v>7.39</v>
      </c>
      <c r="K7" t="s">
        <v>328</v>
      </c>
    </row>
    <row r="8" spans="1:11" x14ac:dyDescent="0.3">
      <c r="A8">
        <v>2021</v>
      </c>
      <c r="B8" t="s">
        <v>324</v>
      </c>
      <c r="C8" t="s">
        <v>325</v>
      </c>
      <c r="D8">
        <v>140001086</v>
      </c>
      <c r="E8" t="s">
        <v>341</v>
      </c>
      <c r="F8" t="s">
        <v>330</v>
      </c>
      <c r="G8" t="s">
        <v>331</v>
      </c>
      <c r="H8" t="s">
        <v>332</v>
      </c>
      <c r="I8">
        <v>2</v>
      </c>
      <c r="J8" s="9">
        <v>2.72</v>
      </c>
      <c r="K8" t="s">
        <v>328</v>
      </c>
    </row>
    <row r="9" spans="1:11" x14ac:dyDescent="0.3">
      <c r="A9">
        <v>2021</v>
      </c>
      <c r="B9" t="s">
        <v>324</v>
      </c>
      <c r="C9" t="s">
        <v>325</v>
      </c>
      <c r="D9">
        <v>140000188</v>
      </c>
      <c r="E9" t="s">
        <v>342</v>
      </c>
      <c r="F9" t="s">
        <v>330</v>
      </c>
      <c r="G9" t="s">
        <v>331</v>
      </c>
      <c r="H9" t="s">
        <v>334</v>
      </c>
      <c r="I9">
        <v>22</v>
      </c>
      <c r="J9" s="9">
        <v>23.18</v>
      </c>
      <c r="K9" t="s">
        <v>328</v>
      </c>
    </row>
    <row r="10" spans="1:11" x14ac:dyDescent="0.3">
      <c r="A10">
        <v>2021</v>
      </c>
      <c r="B10" t="s">
        <v>324</v>
      </c>
      <c r="C10" t="s">
        <v>325</v>
      </c>
      <c r="D10">
        <v>630015029</v>
      </c>
      <c r="E10" t="s">
        <v>343</v>
      </c>
      <c r="F10" t="s">
        <v>330</v>
      </c>
      <c r="G10" t="s">
        <v>331</v>
      </c>
      <c r="H10" t="s">
        <v>339</v>
      </c>
      <c r="I10">
        <v>6</v>
      </c>
      <c r="J10" s="9">
        <v>5.5</v>
      </c>
      <c r="K10" t="s">
        <v>328</v>
      </c>
    </row>
    <row r="11" spans="1:11" x14ac:dyDescent="0.3">
      <c r="A11">
        <v>2021</v>
      </c>
      <c r="B11" t="s">
        <v>324</v>
      </c>
      <c r="C11" t="s">
        <v>325</v>
      </c>
      <c r="D11">
        <v>140000148</v>
      </c>
      <c r="E11" t="s">
        <v>344</v>
      </c>
      <c r="F11" t="s">
        <v>330</v>
      </c>
      <c r="G11" t="s">
        <v>345</v>
      </c>
      <c r="H11" t="s">
        <v>346</v>
      </c>
      <c r="I11">
        <v>22</v>
      </c>
      <c r="J11" s="9">
        <v>18.43</v>
      </c>
      <c r="K11" t="s">
        <v>328</v>
      </c>
    </row>
    <row r="12" spans="1:11" x14ac:dyDescent="0.3">
      <c r="A12">
        <v>2021</v>
      </c>
      <c r="B12" t="s">
        <v>324</v>
      </c>
      <c r="C12" t="s">
        <v>325</v>
      </c>
      <c r="D12">
        <v>630013913</v>
      </c>
      <c r="E12" t="s">
        <v>347</v>
      </c>
      <c r="F12" t="s">
        <v>330</v>
      </c>
      <c r="G12" t="s">
        <v>331</v>
      </c>
      <c r="H12" t="s">
        <v>332</v>
      </c>
      <c r="I12">
        <v>0</v>
      </c>
      <c r="J12" s="9">
        <v>1.1100000000000001</v>
      </c>
      <c r="K12" t="s">
        <v>328</v>
      </c>
    </row>
    <row r="13" spans="1:11" x14ac:dyDescent="0.3">
      <c r="A13">
        <v>2021</v>
      </c>
      <c r="B13" t="s">
        <v>324</v>
      </c>
      <c r="C13" t="s">
        <v>325</v>
      </c>
      <c r="D13">
        <v>630013913</v>
      </c>
      <c r="E13" t="s">
        <v>347</v>
      </c>
      <c r="F13" t="s">
        <v>330</v>
      </c>
      <c r="G13" t="s">
        <v>335</v>
      </c>
      <c r="H13" t="s">
        <v>336</v>
      </c>
      <c r="I13">
        <v>0</v>
      </c>
      <c r="J13" s="9">
        <v>0.15</v>
      </c>
    </row>
    <row r="14" spans="1:11" x14ac:dyDescent="0.3">
      <c r="A14">
        <v>2021</v>
      </c>
      <c r="B14" t="s">
        <v>324</v>
      </c>
      <c r="C14" t="s">
        <v>325</v>
      </c>
      <c r="D14">
        <v>140000041</v>
      </c>
      <c r="E14" t="s">
        <v>348</v>
      </c>
      <c r="F14" t="s">
        <v>330</v>
      </c>
      <c r="G14" t="s">
        <v>331</v>
      </c>
      <c r="H14" t="s">
        <v>339</v>
      </c>
      <c r="I14">
        <v>3</v>
      </c>
      <c r="J14" s="9">
        <v>2.08</v>
      </c>
      <c r="K14" t="s">
        <v>328</v>
      </c>
    </row>
    <row r="15" spans="1:11" x14ac:dyDescent="0.3">
      <c r="A15">
        <v>2021</v>
      </c>
      <c r="B15" t="s">
        <v>324</v>
      </c>
      <c r="C15" t="s">
        <v>325</v>
      </c>
      <c r="D15">
        <v>140000797</v>
      </c>
      <c r="E15" t="s">
        <v>349</v>
      </c>
      <c r="F15" t="s">
        <v>330</v>
      </c>
      <c r="G15" t="s">
        <v>331</v>
      </c>
      <c r="H15" t="s">
        <v>334</v>
      </c>
      <c r="I15">
        <v>2</v>
      </c>
      <c r="J15" s="9">
        <v>5.0199999999999996</v>
      </c>
      <c r="K15" t="s">
        <v>328</v>
      </c>
    </row>
    <row r="16" spans="1:11" x14ac:dyDescent="0.3">
      <c r="A16">
        <v>2021</v>
      </c>
      <c r="B16" t="s">
        <v>324</v>
      </c>
      <c r="C16" t="s">
        <v>325</v>
      </c>
      <c r="D16">
        <v>140000014</v>
      </c>
      <c r="E16" t="s">
        <v>350</v>
      </c>
      <c r="F16" t="s">
        <v>330</v>
      </c>
      <c r="G16" t="s">
        <v>331</v>
      </c>
      <c r="H16" t="s">
        <v>351</v>
      </c>
      <c r="I16">
        <v>6</v>
      </c>
      <c r="J16" s="9">
        <v>13.33</v>
      </c>
      <c r="K16" t="s">
        <v>326</v>
      </c>
    </row>
    <row r="17" spans="1:11" x14ac:dyDescent="0.3">
      <c r="A17">
        <v>2021</v>
      </c>
      <c r="B17" t="s">
        <v>324</v>
      </c>
      <c r="C17" t="s">
        <v>325</v>
      </c>
      <c r="D17">
        <v>140000118</v>
      </c>
      <c r="E17" t="s">
        <v>352</v>
      </c>
      <c r="F17" t="s">
        <v>330</v>
      </c>
      <c r="G17" t="s">
        <v>331</v>
      </c>
      <c r="H17" t="s">
        <v>353</v>
      </c>
      <c r="I17">
        <v>5</v>
      </c>
      <c r="J17" s="9">
        <v>8.14</v>
      </c>
      <c r="K17" t="s">
        <v>328</v>
      </c>
    </row>
    <row r="18" spans="1:11" x14ac:dyDescent="0.3">
      <c r="A18">
        <v>2021</v>
      </c>
      <c r="B18" t="s">
        <v>324</v>
      </c>
      <c r="C18" t="s">
        <v>325</v>
      </c>
      <c r="D18">
        <v>30000108</v>
      </c>
      <c r="E18" t="s">
        <v>354</v>
      </c>
      <c r="F18" t="s">
        <v>355</v>
      </c>
      <c r="G18" t="s">
        <v>331</v>
      </c>
      <c r="H18" t="s">
        <v>332</v>
      </c>
      <c r="I18">
        <v>3</v>
      </c>
      <c r="J18" s="9">
        <v>1.1000000000000001</v>
      </c>
      <c r="K18" t="s">
        <v>328</v>
      </c>
    </row>
    <row r="19" spans="1:11" x14ac:dyDescent="0.3">
      <c r="A19">
        <v>2021</v>
      </c>
      <c r="B19" t="s">
        <v>324</v>
      </c>
      <c r="C19" t="s">
        <v>325</v>
      </c>
      <c r="D19">
        <v>230000013</v>
      </c>
      <c r="E19" t="s">
        <v>356</v>
      </c>
      <c r="F19" t="s">
        <v>357</v>
      </c>
      <c r="G19" t="s">
        <v>331</v>
      </c>
      <c r="H19" t="s">
        <v>353</v>
      </c>
      <c r="I19">
        <v>1</v>
      </c>
      <c r="J19" s="9">
        <v>10.49</v>
      </c>
      <c r="K19" t="s">
        <v>326</v>
      </c>
    </row>
    <row r="20" spans="1:11" x14ac:dyDescent="0.3">
      <c r="A20">
        <v>2021</v>
      </c>
      <c r="B20" t="s">
        <v>324</v>
      </c>
      <c r="C20" t="s">
        <v>325</v>
      </c>
      <c r="D20">
        <v>230000405</v>
      </c>
      <c r="E20" t="s">
        <v>358</v>
      </c>
      <c r="F20" t="s">
        <v>357</v>
      </c>
      <c r="G20" t="s">
        <v>335</v>
      </c>
      <c r="H20" t="s">
        <v>359</v>
      </c>
      <c r="I20">
        <v>0</v>
      </c>
      <c r="J20" s="9">
        <v>0.31</v>
      </c>
      <c r="K20" t="s">
        <v>328</v>
      </c>
    </row>
    <row r="21" spans="1:11" x14ac:dyDescent="0.3">
      <c r="A21">
        <v>2021</v>
      </c>
      <c r="B21" t="s">
        <v>324</v>
      </c>
      <c r="C21" t="s">
        <v>325</v>
      </c>
      <c r="D21">
        <v>230000001</v>
      </c>
      <c r="E21" t="s">
        <v>360</v>
      </c>
      <c r="F21" t="s">
        <v>357</v>
      </c>
      <c r="G21" t="s">
        <v>361</v>
      </c>
      <c r="H21" t="s">
        <v>362</v>
      </c>
      <c r="I21">
        <v>0</v>
      </c>
      <c r="J21" s="9">
        <v>0.08</v>
      </c>
    </row>
    <row r="22" spans="1:11" x14ac:dyDescent="0.3">
      <c r="A22">
        <v>2021</v>
      </c>
      <c r="B22" t="s">
        <v>324</v>
      </c>
      <c r="C22" t="s">
        <v>325</v>
      </c>
      <c r="D22">
        <v>230000014</v>
      </c>
      <c r="E22" t="s">
        <v>363</v>
      </c>
      <c r="F22" t="s">
        <v>357</v>
      </c>
      <c r="G22" t="s">
        <v>331</v>
      </c>
      <c r="H22" t="s">
        <v>339</v>
      </c>
      <c r="I22">
        <v>0</v>
      </c>
      <c r="J22" s="9">
        <v>0.9</v>
      </c>
      <c r="K22" t="s">
        <v>328</v>
      </c>
    </row>
    <row r="23" spans="1:11" x14ac:dyDescent="0.3">
      <c r="A23">
        <v>2021</v>
      </c>
      <c r="B23" t="s">
        <v>324</v>
      </c>
      <c r="C23" t="s">
        <v>325</v>
      </c>
      <c r="D23">
        <v>30000120</v>
      </c>
      <c r="E23" t="s">
        <v>364</v>
      </c>
      <c r="F23" t="s">
        <v>365</v>
      </c>
      <c r="G23" t="s">
        <v>361</v>
      </c>
      <c r="H23" t="s">
        <v>362</v>
      </c>
      <c r="I23">
        <v>0</v>
      </c>
      <c r="J23" s="9">
        <v>0.19</v>
      </c>
    </row>
    <row r="24" spans="1:11" x14ac:dyDescent="0.3">
      <c r="A24">
        <v>2021</v>
      </c>
      <c r="B24" t="s">
        <v>324</v>
      </c>
      <c r="C24" t="s">
        <v>325</v>
      </c>
      <c r="D24">
        <v>230000259</v>
      </c>
      <c r="E24" t="s">
        <v>366</v>
      </c>
      <c r="F24" t="s">
        <v>367</v>
      </c>
      <c r="G24" t="s">
        <v>331</v>
      </c>
      <c r="H24" t="s">
        <v>332</v>
      </c>
      <c r="I24">
        <v>0</v>
      </c>
      <c r="J24" s="9">
        <v>0.15</v>
      </c>
    </row>
    <row r="25" spans="1:11" x14ac:dyDescent="0.3">
      <c r="A25">
        <v>2021</v>
      </c>
      <c r="B25" t="s">
        <v>324</v>
      </c>
      <c r="C25" t="s">
        <v>325</v>
      </c>
      <c r="D25">
        <v>140000195</v>
      </c>
      <c r="E25" t="s">
        <v>368</v>
      </c>
      <c r="F25" t="s">
        <v>369</v>
      </c>
      <c r="G25" t="s">
        <v>331</v>
      </c>
      <c r="H25" t="s">
        <v>334</v>
      </c>
      <c r="I25">
        <v>0</v>
      </c>
      <c r="J25" s="9">
        <v>1.62</v>
      </c>
      <c r="K25" t="s">
        <v>328</v>
      </c>
    </row>
    <row r="26" spans="1:11" x14ac:dyDescent="0.3">
      <c r="A26">
        <v>2021</v>
      </c>
      <c r="B26" t="s">
        <v>324</v>
      </c>
      <c r="C26" t="s">
        <v>325</v>
      </c>
      <c r="D26">
        <v>140000196</v>
      </c>
      <c r="E26" t="s">
        <v>370</v>
      </c>
      <c r="F26" t="s">
        <v>369</v>
      </c>
      <c r="G26" t="s">
        <v>331</v>
      </c>
      <c r="H26" t="s">
        <v>334</v>
      </c>
      <c r="I26">
        <v>11</v>
      </c>
      <c r="J26" s="9">
        <v>10.130000000000001</v>
      </c>
      <c r="K26" t="s">
        <v>328</v>
      </c>
    </row>
    <row r="27" spans="1:11" x14ac:dyDescent="0.3">
      <c r="A27">
        <v>2021</v>
      </c>
      <c r="B27" t="s">
        <v>324</v>
      </c>
      <c r="C27" t="s">
        <v>325</v>
      </c>
      <c r="D27">
        <v>140000187</v>
      </c>
      <c r="E27" t="s">
        <v>371</v>
      </c>
      <c r="F27" t="s">
        <v>369</v>
      </c>
      <c r="G27" t="s">
        <v>331</v>
      </c>
      <c r="H27" t="s">
        <v>334</v>
      </c>
      <c r="I27">
        <v>16</v>
      </c>
      <c r="J27" s="9">
        <v>17.239999999999998</v>
      </c>
      <c r="K27" t="s">
        <v>328</v>
      </c>
    </row>
    <row r="28" spans="1:11" x14ac:dyDescent="0.3">
      <c r="A28">
        <v>2021</v>
      </c>
      <c r="B28" t="s">
        <v>324</v>
      </c>
      <c r="C28" t="s">
        <v>325</v>
      </c>
      <c r="D28">
        <v>140000187</v>
      </c>
      <c r="E28" t="s">
        <v>371</v>
      </c>
      <c r="F28" t="s">
        <v>369</v>
      </c>
      <c r="G28" t="s">
        <v>335</v>
      </c>
      <c r="H28" t="s">
        <v>336</v>
      </c>
      <c r="I28">
        <v>0</v>
      </c>
      <c r="J28" s="9">
        <v>0.12</v>
      </c>
    </row>
    <row r="29" spans="1:11" x14ac:dyDescent="0.3">
      <c r="A29">
        <v>2021</v>
      </c>
      <c r="B29" t="s">
        <v>324</v>
      </c>
      <c r="C29" t="s">
        <v>325</v>
      </c>
      <c r="D29">
        <v>630011203</v>
      </c>
      <c r="E29" t="s">
        <v>372</v>
      </c>
      <c r="F29" t="s">
        <v>369</v>
      </c>
      <c r="G29" t="s">
        <v>331</v>
      </c>
      <c r="H29" t="s">
        <v>334</v>
      </c>
      <c r="I29">
        <v>5</v>
      </c>
      <c r="J29" s="9">
        <v>5.2</v>
      </c>
      <c r="K29" t="s">
        <v>328</v>
      </c>
    </row>
    <row r="30" spans="1:11" x14ac:dyDescent="0.3">
      <c r="A30">
        <v>2021</v>
      </c>
      <c r="B30" t="s">
        <v>324</v>
      </c>
      <c r="C30" t="s">
        <v>325</v>
      </c>
      <c r="D30">
        <v>140000191</v>
      </c>
      <c r="E30" t="s">
        <v>373</v>
      </c>
      <c r="F30" t="s">
        <v>369</v>
      </c>
      <c r="G30" t="s">
        <v>331</v>
      </c>
      <c r="H30" t="s">
        <v>334</v>
      </c>
      <c r="I30">
        <v>3</v>
      </c>
      <c r="J30" s="9">
        <v>2.12</v>
      </c>
      <c r="K30" t="s">
        <v>328</v>
      </c>
    </row>
    <row r="31" spans="1:11" x14ac:dyDescent="0.3">
      <c r="A31">
        <v>2021</v>
      </c>
      <c r="B31" t="s">
        <v>324</v>
      </c>
      <c r="C31" t="s">
        <v>325</v>
      </c>
      <c r="D31">
        <v>140000190</v>
      </c>
      <c r="E31" t="s">
        <v>374</v>
      </c>
      <c r="F31" t="s">
        <v>369</v>
      </c>
      <c r="G31" t="s">
        <v>331</v>
      </c>
      <c r="H31" t="s">
        <v>353</v>
      </c>
      <c r="I31">
        <v>16</v>
      </c>
      <c r="J31" s="9">
        <v>8.74</v>
      </c>
      <c r="K31" t="s">
        <v>327</v>
      </c>
    </row>
    <row r="32" spans="1:11" x14ac:dyDescent="0.3">
      <c r="A32">
        <v>2021</v>
      </c>
      <c r="B32" t="s">
        <v>324</v>
      </c>
      <c r="C32" t="s">
        <v>325</v>
      </c>
      <c r="D32">
        <v>140000704</v>
      </c>
      <c r="E32" t="s">
        <v>375</v>
      </c>
      <c r="F32" t="s">
        <v>369</v>
      </c>
      <c r="G32" t="s">
        <v>331</v>
      </c>
      <c r="H32" t="s">
        <v>332</v>
      </c>
      <c r="I32">
        <v>3</v>
      </c>
      <c r="J32" s="9">
        <v>1.24</v>
      </c>
      <c r="K32" t="s">
        <v>328</v>
      </c>
    </row>
    <row r="33" spans="1:11" x14ac:dyDescent="0.3">
      <c r="A33">
        <v>2021</v>
      </c>
      <c r="B33" t="s">
        <v>324</v>
      </c>
      <c r="C33" t="s">
        <v>325</v>
      </c>
      <c r="D33">
        <v>140000016</v>
      </c>
      <c r="E33" t="s">
        <v>376</v>
      </c>
      <c r="F33" t="s">
        <v>369</v>
      </c>
      <c r="G33" t="s">
        <v>331</v>
      </c>
      <c r="H33" t="s">
        <v>339</v>
      </c>
      <c r="I33">
        <v>2</v>
      </c>
      <c r="J33" s="9">
        <v>3.23</v>
      </c>
      <c r="K33" t="s">
        <v>328</v>
      </c>
    </row>
    <row r="34" spans="1:11" x14ac:dyDescent="0.3">
      <c r="A34">
        <v>2021</v>
      </c>
      <c r="B34" t="s">
        <v>324</v>
      </c>
      <c r="C34" t="s">
        <v>325</v>
      </c>
      <c r="D34">
        <v>110000049</v>
      </c>
      <c r="E34" t="s">
        <v>377</v>
      </c>
      <c r="F34" t="s">
        <v>378</v>
      </c>
      <c r="G34" t="s">
        <v>331</v>
      </c>
      <c r="H34" t="s">
        <v>332</v>
      </c>
      <c r="I34">
        <v>0</v>
      </c>
      <c r="J34" s="9">
        <v>0.65</v>
      </c>
      <c r="K34" t="s">
        <v>328</v>
      </c>
    </row>
    <row r="35" spans="1:11" x14ac:dyDescent="0.3">
      <c r="A35">
        <v>2021</v>
      </c>
      <c r="B35" t="s">
        <v>324</v>
      </c>
      <c r="C35" t="s">
        <v>325</v>
      </c>
      <c r="D35">
        <v>110000049</v>
      </c>
      <c r="E35" t="s">
        <v>377</v>
      </c>
      <c r="F35" t="s">
        <v>378</v>
      </c>
      <c r="G35" t="s">
        <v>335</v>
      </c>
      <c r="H35" t="s">
        <v>336</v>
      </c>
      <c r="I35">
        <v>0</v>
      </c>
      <c r="J35" s="9">
        <v>0.02</v>
      </c>
    </row>
    <row r="36" spans="1:11" x14ac:dyDescent="0.3">
      <c r="A36">
        <v>2021</v>
      </c>
      <c r="B36" t="s">
        <v>324</v>
      </c>
      <c r="C36" t="s">
        <v>325</v>
      </c>
      <c r="D36">
        <v>30000114</v>
      </c>
      <c r="E36" t="s">
        <v>379</v>
      </c>
      <c r="F36" t="s">
        <v>380</v>
      </c>
      <c r="G36" t="s">
        <v>331</v>
      </c>
      <c r="H36" t="s">
        <v>332</v>
      </c>
      <c r="I36">
        <v>0</v>
      </c>
      <c r="J36" s="9">
        <v>0.23</v>
      </c>
      <c r="K36" t="s">
        <v>328</v>
      </c>
    </row>
    <row r="37" spans="1:11" x14ac:dyDescent="0.3">
      <c r="A37">
        <v>2021</v>
      </c>
      <c r="B37" t="s">
        <v>324</v>
      </c>
      <c r="C37" t="s">
        <v>325</v>
      </c>
      <c r="D37">
        <v>30000121</v>
      </c>
      <c r="E37" t="s">
        <v>381</v>
      </c>
      <c r="F37" t="s">
        <v>380</v>
      </c>
      <c r="G37" t="s">
        <v>331</v>
      </c>
      <c r="H37" t="s">
        <v>332</v>
      </c>
      <c r="I37">
        <v>0</v>
      </c>
      <c r="J37" s="9">
        <v>2.25</v>
      </c>
      <c r="K37" t="s">
        <v>328</v>
      </c>
    </row>
    <row r="38" spans="1:11" x14ac:dyDescent="0.3">
      <c r="A38">
        <v>2021</v>
      </c>
      <c r="B38" t="s">
        <v>324</v>
      </c>
      <c r="C38" t="s">
        <v>325</v>
      </c>
      <c r="D38">
        <v>40000124</v>
      </c>
      <c r="E38" t="s">
        <v>382</v>
      </c>
      <c r="F38" t="s">
        <v>383</v>
      </c>
      <c r="G38" t="s">
        <v>331</v>
      </c>
      <c r="H38" t="s">
        <v>332</v>
      </c>
      <c r="I38">
        <v>0</v>
      </c>
      <c r="J38" s="9">
        <v>0.4</v>
      </c>
      <c r="K38" t="s">
        <v>328</v>
      </c>
    </row>
    <row r="39" spans="1:11" x14ac:dyDescent="0.3">
      <c r="A39">
        <v>2021</v>
      </c>
      <c r="B39" t="s">
        <v>324</v>
      </c>
      <c r="C39" t="s">
        <v>325</v>
      </c>
      <c r="D39">
        <v>40000122</v>
      </c>
      <c r="E39" t="s">
        <v>384</v>
      </c>
      <c r="F39" t="s">
        <v>383</v>
      </c>
      <c r="G39" t="s">
        <v>331</v>
      </c>
      <c r="H39" t="s">
        <v>332</v>
      </c>
      <c r="I39">
        <v>1</v>
      </c>
      <c r="J39" s="9">
        <v>0.92</v>
      </c>
      <c r="K39" t="s">
        <v>328</v>
      </c>
    </row>
    <row r="40" spans="1:11" x14ac:dyDescent="0.3">
      <c r="A40">
        <v>2021</v>
      </c>
      <c r="B40" t="s">
        <v>324</v>
      </c>
      <c r="C40" t="s">
        <v>325</v>
      </c>
      <c r="D40">
        <v>40000095</v>
      </c>
      <c r="E40" t="s">
        <v>385</v>
      </c>
      <c r="F40" t="s">
        <v>383</v>
      </c>
      <c r="G40" t="s">
        <v>331</v>
      </c>
      <c r="H40" t="s">
        <v>334</v>
      </c>
      <c r="I40">
        <v>20</v>
      </c>
      <c r="J40" s="9">
        <v>14.39</v>
      </c>
      <c r="K40" t="s">
        <v>328</v>
      </c>
    </row>
    <row r="41" spans="1:11" x14ac:dyDescent="0.3">
      <c r="A41">
        <v>2021</v>
      </c>
      <c r="B41" t="s">
        <v>324</v>
      </c>
      <c r="C41" t="s">
        <v>325</v>
      </c>
      <c r="D41">
        <v>40000096</v>
      </c>
      <c r="E41" t="s">
        <v>386</v>
      </c>
      <c r="F41" t="s">
        <v>383</v>
      </c>
      <c r="G41" t="s">
        <v>331</v>
      </c>
      <c r="H41" t="s">
        <v>332</v>
      </c>
      <c r="I41">
        <v>0</v>
      </c>
      <c r="J41" s="9">
        <v>0</v>
      </c>
    </row>
    <row r="42" spans="1:11" x14ac:dyDescent="0.3">
      <c r="A42">
        <v>2021</v>
      </c>
      <c r="B42" t="s">
        <v>324</v>
      </c>
      <c r="C42" t="s">
        <v>325</v>
      </c>
      <c r="D42">
        <v>40000101</v>
      </c>
      <c r="E42" t="s">
        <v>387</v>
      </c>
      <c r="F42" t="s">
        <v>383</v>
      </c>
      <c r="G42" t="s">
        <v>331</v>
      </c>
      <c r="H42" t="s">
        <v>334</v>
      </c>
      <c r="I42">
        <v>74</v>
      </c>
      <c r="J42" s="9">
        <v>56.87</v>
      </c>
      <c r="K42" t="s">
        <v>327</v>
      </c>
    </row>
    <row r="43" spans="1:11" x14ac:dyDescent="0.3">
      <c r="A43">
        <v>2021</v>
      </c>
      <c r="B43" t="s">
        <v>324</v>
      </c>
      <c r="C43" t="s">
        <v>325</v>
      </c>
      <c r="D43">
        <v>40000101</v>
      </c>
      <c r="E43" t="s">
        <v>387</v>
      </c>
      <c r="F43" t="s">
        <v>383</v>
      </c>
      <c r="G43" t="s">
        <v>335</v>
      </c>
      <c r="H43" t="s">
        <v>336</v>
      </c>
      <c r="I43">
        <v>0</v>
      </c>
      <c r="J43" s="9">
        <v>0.39</v>
      </c>
      <c r="K43" t="s">
        <v>328</v>
      </c>
    </row>
    <row r="44" spans="1:11" x14ac:dyDescent="0.3">
      <c r="A44">
        <v>2021</v>
      </c>
      <c r="B44" t="s">
        <v>324</v>
      </c>
      <c r="C44" t="s">
        <v>325</v>
      </c>
      <c r="D44">
        <v>40001397</v>
      </c>
      <c r="E44" t="s">
        <v>388</v>
      </c>
      <c r="F44" t="s">
        <v>383</v>
      </c>
      <c r="G44" t="s">
        <v>331</v>
      </c>
      <c r="H44" t="s">
        <v>334</v>
      </c>
      <c r="I44">
        <v>9</v>
      </c>
      <c r="J44" s="9">
        <v>5.15</v>
      </c>
      <c r="K44" t="s">
        <v>328</v>
      </c>
    </row>
    <row r="45" spans="1:11" x14ac:dyDescent="0.3">
      <c r="A45">
        <v>2021</v>
      </c>
      <c r="B45" t="s">
        <v>324</v>
      </c>
      <c r="C45" t="s">
        <v>325</v>
      </c>
      <c r="D45">
        <v>40000254</v>
      </c>
      <c r="E45" t="s">
        <v>389</v>
      </c>
      <c r="F45" t="s">
        <v>383</v>
      </c>
      <c r="G45" t="s">
        <v>331</v>
      </c>
      <c r="H45" t="s">
        <v>332</v>
      </c>
      <c r="I45">
        <v>0</v>
      </c>
      <c r="J45" s="9">
        <v>0.06</v>
      </c>
    </row>
    <row r="46" spans="1:11" x14ac:dyDescent="0.3">
      <c r="A46">
        <v>2021</v>
      </c>
      <c r="B46" t="s">
        <v>324</v>
      </c>
      <c r="C46" t="s">
        <v>325</v>
      </c>
      <c r="D46">
        <v>40000949</v>
      </c>
      <c r="E46" t="s">
        <v>390</v>
      </c>
      <c r="F46" t="s">
        <v>383</v>
      </c>
      <c r="G46" t="s">
        <v>331</v>
      </c>
      <c r="H46" t="s">
        <v>339</v>
      </c>
      <c r="I46">
        <v>6</v>
      </c>
      <c r="J46" s="9">
        <v>5.62</v>
      </c>
      <c r="K46" t="s">
        <v>328</v>
      </c>
    </row>
    <row r="47" spans="1:11" x14ac:dyDescent="0.3">
      <c r="A47">
        <v>2021</v>
      </c>
      <c r="B47" t="s">
        <v>324</v>
      </c>
      <c r="C47" t="s">
        <v>325</v>
      </c>
      <c r="D47">
        <v>40000126</v>
      </c>
      <c r="E47" t="s">
        <v>391</v>
      </c>
      <c r="F47" t="s">
        <v>383</v>
      </c>
      <c r="G47" t="s">
        <v>331</v>
      </c>
      <c r="H47" t="s">
        <v>334</v>
      </c>
      <c r="I47">
        <v>26</v>
      </c>
      <c r="J47" s="9">
        <v>22.53</v>
      </c>
      <c r="K47" t="s">
        <v>328</v>
      </c>
    </row>
    <row r="48" spans="1:11" x14ac:dyDescent="0.3">
      <c r="A48">
        <v>2021</v>
      </c>
      <c r="B48" t="s">
        <v>324</v>
      </c>
      <c r="C48" t="s">
        <v>325</v>
      </c>
      <c r="D48">
        <v>40000613</v>
      </c>
      <c r="E48" t="s">
        <v>392</v>
      </c>
      <c r="F48" t="s">
        <v>383</v>
      </c>
      <c r="G48" t="s">
        <v>335</v>
      </c>
      <c r="H48" t="s">
        <v>359</v>
      </c>
      <c r="I48">
        <v>0</v>
      </c>
      <c r="J48" s="9">
        <v>1.18</v>
      </c>
      <c r="K48" t="s">
        <v>328</v>
      </c>
    </row>
    <row r="49" spans="1:11" x14ac:dyDescent="0.3">
      <c r="A49">
        <v>2021</v>
      </c>
      <c r="B49" t="s">
        <v>324</v>
      </c>
      <c r="C49" t="s">
        <v>325</v>
      </c>
      <c r="D49">
        <v>230000006</v>
      </c>
      <c r="E49" t="s">
        <v>393</v>
      </c>
      <c r="F49" t="s">
        <v>394</v>
      </c>
      <c r="G49" t="s">
        <v>361</v>
      </c>
      <c r="H49" t="s">
        <v>362</v>
      </c>
      <c r="I49">
        <v>0</v>
      </c>
      <c r="J49" s="9">
        <v>0.14000000000000001</v>
      </c>
    </row>
    <row r="50" spans="1:11" x14ac:dyDescent="0.3">
      <c r="A50">
        <v>2021</v>
      </c>
      <c r="B50" t="s">
        <v>324</v>
      </c>
      <c r="C50" t="s">
        <v>325</v>
      </c>
      <c r="D50">
        <v>110000057</v>
      </c>
      <c r="E50" t="s">
        <v>395</v>
      </c>
      <c r="F50" t="s">
        <v>396</v>
      </c>
      <c r="G50" t="s">
        <v>361</v>
      </c>
      <c r="H50" t="s">
        <v>362</v>
      </c>
      <c r="I50">
        <v>0</v>
      </c>
      <c r="J50" s="9">
        <v>0</v>
      </c>
    </row>
    <row r="51" spans="1:11" x14ac:dyDescent="0.3">
      <c r="A51">
        <v>2021</v>
      </c>
      <c r="B51" t="s">
        <v>324</v>
      </c>
      <c r="C51" t="s">
        <v>325</v>
      </c>
      <c r="D51">
        <v>110000021</v>
      </c>
      <c r="E51" t="s">
        <v>397</v>
      </c>
      <c r="F51" t="s">
        <v>396</v>
      </c>
      <c r="G51" t="s">
        <v>331</v>
      </c>
      <c r="H51" t="s">
        <v>332</v>
      </c>
      <c r="I51">
        <v>0</v>
      </c>
      <c r="J51" s="9">
        <v>0.45</v>
      </c>
      <c r="K51" t="s">
        <v>328</v>
      </c>
    </row>
    <row r="52" spans="1:11" x14ac:dyDescent="0.3">
      <c r="A52">
        <v>2021</v>
      </c>
      <c r="B52" t="s">
        <v>324</v>
      </c>
      <c r="C52" t="s">
        <v>325</v>
      </c>
      <c r="D52">
        <v>110000045</v>
      </c>
      <c r="E52" t="s">
        <v>398</v>
      </c>
      <c r="F52" t="s">
        <v>396</v>
      </c>
      <c r="G52" t="s">
        <v>361</v>
      </c>
      <c r="H52" t="s">
        <v>362</v>
      </c>
      <c r="I52">
        <v>0</v>
      </c>
      <c r="J52" s="9">
        <v>0.11</v>
      </c>
    </row>
    <row r="53" spans="1:11" x14ac:dyDescent="0.3">
      <c r="A53">
        <v>2021</v>
      </c>
      <c r="B53" t="s">
        <v>324</v>
      </c>
      <c r="C53" t="s">
        <v>325</v>
      </c>
      <c r="D53">
        <v>110000067</v>
      </c>
      <c r="E53" t="s">
        <v>399</v>
      </c>
      <c r="F53" t="s">
        <v>396</v>
      </c>
      <c r="G53" t="s">
        <v>331</v>
      </c>
      <c r="H53" t="s">
        <v>334</v>
      </c>
      <c r="I53">
        <v>2</v>
      </c>
      <c r="J53" s="9">
        <v>5.33</v>
      </c>
      <c r="K53" t="s">
        <v>328</v>
      </c>
    </row>
    <row r="54" spans="1:11" x14ac:dyDescent="0.3">
      <c r="A54">
        <v>2021</v>
      </c>
      <c r="B54" t="s">
        <v>324</v>
      </c>
      <c r="C54" t="s">
        <v>325</v>
      </c>
      <c r="D54">
        <v>110000069</v>
      </c>
      <c r="E54" t="s">
        <v>400</v>
      </c>
      <c r="F54" t="s">
        <v>396</v>
      </c>
      <c r="G54" t="s">
        <v>335</v>
      </c>
      <c r="H54" t="s">
        <v>359</v>
      </c>
      <c r="I54">
        <v>0</v>
      </c>
      <c r="J54" s="9">
        <v>0.05</v>
      </c>
    </row>
    <row r="55" spans="1:11" x14ac:dyDescent="0.3">
      <c r="A55">
        <v>2021</v>
      </c>
      <c r="B55" t="s">
        <v>324</v>
      </c>
      <c r="C55" t="s">
        <v>325</v>
      </c>
      <c r="D55">
        <v>90000040</v>
      </c>
      <c r="E55" t="s">
        <v>401</v>
      </c>
      <c r="F55" t="s">
        <v>402</v>
      </c>
      <c r="G55" t="s">
        <v>331</v>
      </c>
      <c r="H55" t="s">
        <v>339</v>
      </c>
      <c r="I55">
        <v>32</v>
      </c>
      <c r="J55" s="9">
        <v>2.9</v>
      </c>
      <c r="K55" t="s">
        <v>327</v>
      </c>
    </row>
    <row r="56" spans="1:11" x14ac:dyDescent="0.3">
      <c r="A56">
        <v>2021</v>
      </c>
      <c r="B56" t="s">
        <v>324</v>
      </c>
      <c r="C56" t="s">
        <v>325</v>
      </c>
      <c r="D56">
        <v>90000146</v>
      </c>
      <c r="E56" t="s">
        <v>403</v>
      </c>
      <c r="F56" t="s">
        <v>402</v>
      </c>
      <c r="G56" t="s">
        <v>331</v>
      </c>
      <c r="H56" t="s">
        <v>332</v>
      </c>
      <c r="I56">
        <v>10</v>
      </c>
      <c r="J56" s="9">
        <v>1.94</v>
      </c>
      <c r="K56" t="s">
        <v>327</v>
      </c>
    </row>
    <row r="57" spans="1:11" x14ac:dyDescent="0.3">
      <c r="A57">
        <v>2021</v>
      </c>
      <c r="B57" t="s">
        <v>324</v>
      </c>
      <c r="C57" t="s">
        <v>325</v>
      </c>
      <c r="D57">
        <v>240000037</v>
      </c>
      <c r="E57" t="s">
        <v>404</v>
      </c>
      <c r="F57" t="s">
        <v>405</v>
      </c>
      <c r="G57" t="s">
        <v>361</v>
      </c>
      <c r="H57" t="s">
        <v>362</v>
      </c>
      <c r="I57">
        <v>0</v>
      </c>
      <c r="J57" s="9">
        <v>0.03</v>
      </c>
    </row>
    <row r="58" spans="1:11" x14ac:dyDescent="0.3">
      <c r="A58">
        <v>2021</v>
      </c>
      <c r="B58" t="s">
        <v>324</v>
      </c>
      <c r="C58" t="s">
        <v>325</v>
      </c>
      <c r="D58">
        <v>240000102</v>
      </c>
      <c r="E58" t="s">
        <v>406</v>
      </c>
      <c r="F58" t="s">
        <v>405</v>
      </c>
      <c r="G58" t="s">
        <v>361</v>
      </c>
      <c r="H58" t="s">
        <v>362</v>
      </c>
      <c r="J58" s="9"/>
    </row>
    <row r="59" spans="1:11" x14ac:dyDescent="0.3">
      <c r="A59">
        <v>2021</v>
      </c>
      <c r="B59" t="s">
        <v>324</v>
      </c>
      <c r="C59" t="s">
        <v>325</v>
      </c>
      <c r="D59">
        <v>120000411</v>
      </c>
      <c r="E59" t="s">
        <v>407</v>
      </c>
      <c r="F59" t="s">
        <v>408</v>
      </c>
      <c r="G59" t="s">
        <v>331</v>
      </c>
      <c r="H59" t="s">
        <v>334</v>
      </c>
      <c r="I59">
        <v>20</v>
      </c>
      <c r="J59" s="9">
        <v>17.54</v>
      </c>
      <c r="K59" t="s">
        <v>328</v>
      </c>
    </row>
    <row r="60" spans="1:11" x14ac:dyDescent="0.3">
      <c r="A60">
        <v>2021</v>
      </c>
      <c r="B60" t="s">
        <v>324</v>
      </c>
      <c r="C60" t="s">
        <v>325</v>
      </c>
      <c r="D60">
        <v>120000336</v>
      </c>
      <c r="E60" t="s">
        <v>409</v>
      </c>
      <c r="F60" t="s">
        <v>408</v>
      </c>
      <c r="G60" t="s">
        <v>331</v>
      </c>
      <c r="H60" t="s">
        <v>332</v>
      </c>
      <c r="I60">
        <v>3</v>
      </c>
      <c r="J60" s="9">
        <v>1.57</v>
      </c>
      <c r="K60" t="s">
        <v>328</v>
      </c>
    </row>
    <row r="61" spans="1:11" x14ac:dyDescent="0.3">
      <c r="A61">
        <v>2021</v>
      </c>
      <c r="B61" t="s">
        <v>324</v>
      </c>
      <c r="C61" t="s">
        <v>325</v>
      </c>
      <c r="D61">
        <v>120000413</v>
      </c>
      <c r="E61" t="s">
        <v>410</v>
      </c>
      <c r="F61" t="s">
        <v>408</v>
      </c>
      <c r="G61" t="s">
        <v>361</v>
      </c>
      <c r="H61" t="s">
        <v>362</v>
      </c>
      <c r="I61">
        <v>1</v>
      </c>
      <c r="J61" s="9">
        <v>0.25</v>
      </c>
      <c r="K61" t="s">
        <v>328</v>
      </c>
    </row>
    <row r="62" spans="1:11" x14ac:dyDescent="0.3">
      <c r="A62">
        <v>2021</v>
      </c>
      <c r="B62" t="s">
        <v>324</v>
      </c>
      <c r="C62" t="s">
        <v>325</v>
      </c>
      <c r="D62">
        <v>120001330</v>
      </c>
      <c r="E62" t="s">
        <v>411</v>
      </c>
      <c r="F62" t="s">
        <v>408</v>
      </c>
      <c r="G62" t="s">
        <v>331</v>
      </c>
      <c r="H62" t="s">
        <v>332</v>
      </c>
      <c r="I62">
        <v>12</v>
      </c>
      <c r="J62" s="9">
        <v>1.68</v>
      </c>
      <c r="K62" t="s">
        <v>327</v>
      </c>
    </row>
    <row r="63" spans="1:11" x14ac:dyDescent="0.3">
      <c r="A63">
        <v>2021</v>
      </c>
      <c r="B63" t="s">
        <v>324</v>
      </c>
      <c r="C63" t="s">
        <v>325</v>
      </c>
      <c r="D63">
        <v>120000338</v>
      </c>
      <c r="E63" t="s">
        <v>412</v>
      </c>
      <c r="F63" t="s">
        <v>408</v>
      </c>
      <c r="G63" t="s">
        <v>331</v>
      </c>
      <c r="H63" t="s">
        <v>353</v>
      </c>
      <c r="I63">
        <v>10</v>
      </c>
      <c r="J63" s="9">
        <v>12.27</v>
      </c>
      <c r="K63" t="s">
        <v>328</v>
      </c>
    </row>
    <row r="64" spans="1:11" x14ac:dyDescent="0.3">
      <c r="A64">
        <v>2021</v>
      </c>
      <c r="B64" t="s">
        <v>324</v>
      </c>
      <c r="C64" t="s">
        <v>325</v>
      </c>
      <c r="D64">
        <v>120000555</v>
      </c>
      <c r="E64" t="s">
        <v>413</v>
      </c>
      <c r="F64" t="s">
        <v>408</v>
      </c>
      <c r="G64" t="s">
        <v>335</v>
      </c>
      <c r="H64" t="s">
        <v>359</v>
      </c>
      <c r="I64">
        <v>0</v>
      </c>
      <c r="J64" s="9">
        <v>1.28</v>
      </c>
      <c r="K64" t="s">
        <v>328</v>
      </c>
    </row>
    <row r="65" spans="1:11" x14ac:dyDescent="0.3">
      <c r="A65">
        <v>2021</v>
      </c>
      <c r="B65" t="s">
        <v>324</v>
      </c>
      <c r="C65" t="s">
        <v>325</v>
      </c>
      <c r="D65">
        <v>120000319</v>
      </c>
      <c r="E65" t="s">
        <v>414</v>
      </c>
      <c r="F65" t="s">
        <v>408</v>
      </c>
      <c r="G65" t="s">
        <v>331</v>
      </c>
      <c r="H65" t="s">
        <v>332</v>
      </c>
      <c r="I65">
        <v>0</v>
      </c>
      <c r="J65" s="9">
        <v>0.55000000000000004</v>
      </c>
      <c r="K65" t="s">
        <v>328</v>
      </c>
    </row>
    <row r="66" spans="1:11" x14ac:dyDescent="0.3">
      <c r="A66">
        <v>2021</v>
      </c>
      <c r="B66" t="s">
        <v>324</v>
      </c>
      <c r="C66" t="s">
        <v>325</v>
      </c>
      <c r="D66">
        <v>120000342</v>
      </c>
      <c r="E66" t="s">
        <v>415</v>
      </c>
      <c r="F66" t="s">
        <v>408</v>
      </c>
      <c r="G66" t="s">
        <v>331</v>
      </c>
      <c r="H66" t="s">
        <v>334</v>
      </c>
      <c r="I66">
        <v>19</v>
      </c>
      <c r="J66" s="9">
        <v>7.25</v>
      </c>
      <c r="K66" t="s">
        <v>327</v>
      </c>
    </row>
    <row r="67" spans="1:11" x14ac:dyDescent="0.3">
      <c r="A67">
        <v>2021</v>
      </c>
      <c r="B67" t="s">
        <v>324</v>
      </c>
      <c r="C67" t="s">
        <v>325</v>
      </c>
      <c r="D67">
        <v>120000344</v>
      </c>
      <c r="E67" t="s">
        <v>416</v>
      </c>
      <c r="F67" t="s">
        <v>408</v>
      </c>
      <c r="G67" t="s">
        <v>361</v>
      </c>
      <c r="H67" t="s">
        <v>362</v>
      </c>
      <c r="I67">
        <v>0</v>
      </c>
      <c r="J67" s="9">
        <v>0.01</v>
      </c>
    </row>
    <row r="68" spans="1:11" x14ac:dyDescent="0.3">
      <c r="A68">
        <v>2021</v>
      </c>
      <c r="B68" t="s">
        <v>324</v>
      </c>
      <c r="C68" t="s">
        <v>325</v>
      </c>
      <c r="D68">
        <v>120000404</v>
      </c>
      <c r="E68" t="s">
        <v>417</v>
      </c>
      <c r="F68" t="s">
        <v>408</v>
      </c>
      <c r="G68" t="s">
        <v>331</v>
      </c>
      <c r="H68" t="s">
        <v>332</v>
      </c>
      <c r="I68">
        <v>8</v>
      </c>
      <c r="J68" s="9">
        <v>4.76</v>
      </c>
      <c r="K68" t="s">
        <v>328</v>
      </c>
    </row>
    <row r="69" spans="1:11" x14ac:dyDescent="0.3">
      <c r="A69">
        <v>2021</v>
      </c>
      <c r="B69" t="s">
        <v>324</v>
      </c>
      <c r="C69" t="s">
        <v>325</v>
      </c>
      <c r="D69">
        <v>120000701</v>
      </c>
      <c r="E69" t="s">
        <v>418</v>
      </c>
      <c r="F69" t="s">
        <v>408</v>
      </c>
      <c r="G69" t="s">
        <v>331</v>
      </c>
      <c r="H69" t="s">
        <v>332</v>
      </c>
      <c r="I69">
        <v>2</v>
      </c>
      <c r="J69" s="9">
        <v>2.5099999999999998</v>
      </c>
      <c r="K69" t="s">
        <v>328</v>
      </c>
    </row>
    <row r="70" spans="1:11" x14ac:dyDescent="0.3">
      <c r="A70">
        <v>2021</v>
      </c>
      <c r="B70" t="s">
        <v>324</v>
      </c>
      <c r="C70" t="s">
        <v>325</v>
      </c>
      <c r="D70">
        <v>120000409</v>
      </c>
      <c r="E70" t="s">
        <v>419</v>
      </c>
      <c r="F70" t="s">
        <v>408</v>
      </c>
      <c r="G70" t="s">
        <v>361</v>
      </c>
      <c r="H70" t="s">
        <v>362</v>
      </c>
      <c r="I70">
        <v>2</v>
      </c>
      <c r="J70" s="9">
        <v>0.28999999999999998</v>
      </c>
      <c r="K70" t="s">
        <v>328</v>
      </c>
    </row>
    <row r="71" spans="1:11" x14ac:dyDescent="0.3">
      <c r="A71">
        <v>2021</v>
      </c>
      <c r="B71" t="s">
        <v>324</v>
      </c>
      <c r="C71" t="s">
        <v>325</v>
      </c>
      <c r="D71">
        <v>630012960</v>
      </c>
      <c r="E71" t="s">
        <v>420</v>
      </c>
      <c r="F71" t="s">
        <v>421</v>
      </c>
      <c r="G71" t="s">
        <v>331</v>
      </c>
      <c r="H71" t="s">
        <v>339</v>
      </c>
      <c r="I71">
        <v>8</v>
      </c>
      <c r="J71" s="9">
        <v>5.38</v>
      </c>
      <c r="K71" t="s">
        <v>328</v>
      </c>
    </row>
    <row r="72" spans="1:11" x14ac:dyDescent="0.3">
      <c r="A72">
        <v>2021</v>
      </c>
      <c r="B72" t="s">
        <v>324</v>
      </c>
      <c r="C72" t="s">
        <v>325</v>
      </c>
      <c r="D72">
        <v>110000044</v>
      </c>
      <c r="E72" t="s">
        <v>422</v>
      </c>
      <c r="F72" t="s">
        <v>423</v>
      </c>
      <c r="G72" t="s">
        <v>361</v>
      </c>
      <c r="H72" t="s">
        <v>362</v>
      </c>
      <c r="I72">
        <v>0</v>
      </c>
      <c r="J72" s="9">
        <v>0.14000000000000001</v>
      </c>
    </row>
    <row r="73" spans="1:11" x14ac:dyDescent="0.3">
      <c r="A73">
        <v>2021</v>
      </c>
      <c r="B73" t="s">
        <v>324</v>
      </c>
      <c r="C73" t="s">
        <v>325</v>
      </c>
      <c r="D73">
        <v>110000019</v>
      </c>
      <c r="E73" t="s">
        <v>424</v>
      </c>
      <c r="F73" t="s">
        <v>423</v>
      </c>
      <c r="G73" t="s">
        <v>361</v>
      </c>
      <c r="H73" t="s">
        <v>362</v>
      </c>
      <c r="I73">
        <v>1</v>
      </c>
      <c r="J73" s="9">
        <v>0.25</v>
      </c>
      <c r="K73" t="s">
        <v>328</v>
      </c>
    </row>
    <row r="74" spans="1:11" x14ac:dyDescent="0.3">
      <c r="A74">
        <v>2021</v>
      </c>
      <c r="B74" t="s">
        <v>324</v>
      </c>
      <c r="C74" t="s">
        <v>325</v>
      </c>
      <c r="D74">
        <v>230000008</v>
      </c>
      <c r="E74" t="s">
        <v>425</v>
      </c>
      <c r="F74" t="s">
        <v>426</v>
      </c>
      <c r="G74" t="s">
        <v>361</v>
      </c>
      <c r="H74" t="s">
        <v>362</v>
      </c>
      <c r="I74">
        <v>0</v>
      </c>
      <c r="J74" s="9">
        <v>0.05</v>
      </c>
    </row>
    <row r="75" spans="1:11" x14ac:dyDescent="0.3">
      <c r="A75">
        <v>2021</v>
      </c>
      <c r="B75" t="s">
        <v>324</v>
      </c>
      <c r="C75" t="s">
        <v>325</v>
      </c>
      <c r="D75">
        <v>930000059</v>
      </c>
      <c r="E75" t="s">
        <v>427</v>
      </c>
      <c r="F75" t="s">
        <v>428</v>
      </c>
      <c r="G75" t="s">
        <v>331</v>
      </c>
      <c r="H75" t="s">
        <v>334</v>
      </c>
      <c r="I75">
        <v>7</v>
      </c>
      <c r="J75" s="9">
        <v>12.61</v>
      </c>
      <c r="K75" t="s">
        <v>328</v>
      </c>
    </row>
    <row r="76" spans="1:11" x14ac:dyDescent="0.3">
      <c r="A76">
        <v>2021</v>
      </c>
      <c r="B76" t="s">
        <v>324</v>
      </c>
      <c r="C76" t="s">
        <v>325</v>
      </c>
      <c r="D76">
        <v>930000059</v>
      </c>
      <c r="E76" t="s">
        <v>427</v>
      </c>
      <c r="F76" t="s">
        <v>428</v>
      </c>
      <c r="G76" t="s">
        <v>335</v>
      </c>
      <c r="H76" t="s">
        <v>336</v>
      </c>
      <c r="I76">
        <v>0</v>
      </c>
      <c r="J76" s="9">
        <v>0.1</v>
      </c>
    </row>
    <row r="77" spans="1:11" x14ac:dyDescent="0.3">
      <c r="A77">
        <v>2021</v>
      </c>
      <c r="B77" t="s">
        <v>324</v>
      </c>
      <c r="C77" t="s">
        <v>325</v>
      </c>
      <c r="D77">
        <v>930000191</v>
      </c>
      <c r="E77" t="s">
        <v>429</v>
      </c>
      <c r="F77" t="s">
        <v>428</v>
      </c>
      <c r="G77" t="s">
        <v>331</v>
      </c>
      <c r="H77" t="s">
        <v>334</v>
      </c>
      <c r="I77">
        <v>5</v>
      </c>
      <c r="J77" s="9">
        <v>9.08</v>
      </c>
      <c r="K77" t="s">
        <v>328</v>
      </c>
    </row>
    <row r="78" spans="1:11" x14ac:dyDescent="0.3">
      <c r="A78">
        <v>2021</v>
      </c>
      <c r="B78" t="s">
        <v>324</v>
      </c>
      <c r="C78" t="s">
        <v>325</v>
      </c>
      <c r="D78">
        <v>930000191</v>
      </c>
      <c r="E78" t="s">
        <v>429</v>
      </c>
      <c r="F78" t="s">
        <v>428</v>
      </c>
      <c r="G78" t="s">
        <v>335</v>
      </c>
      <c r="H78" t="s">
        <v>336</v>
      </c>
      <c r="I78">
        <v>0</v>
      </c>
      <c r="J78" s="9">
        <v>0.05</v>
      </c>
    </row>
    <row r="79" spans="1:11" x14ac:dyDescent="0.3">
      <c r="A79">
        <v>2021</v>
      </c>
      <c r="B79" t="s">
        <v>324</v>
      </c>
      <c r="C79" t="s">
        <v>325</v>
      </c>
      <c r="D79">
        <v>930000005</v>
      </c>
      <c r="E79" t="s">
        <v>430</v>
      </c>
      <c r="F79" t="s">
        <v>428</v>
      </c>
      <c r="G79" t="s">
        <v>331</v>
      </c>
      <c r="H79" t="s">
        <v>339</v>
      </c>
      <c r="I79">
        <v>1</v>
      </c>
      <c r="J79" s="9">
        <v>1.58</v>
      </c>
      <c r="K79" t="s">
        <v>328</v>
      </c>
    </row>
    <row r="80" spans="1:11" x14ac:dyDescent="0.3">
      <c r="A80">
        <v>2021</v>
      </c>
      <c r="B80" t="s">
        <v>324</v>
      </c>
      <c r="C80" t="s">
        <v>325</v>
      </c>
      <c r="D80">
        <v>930000005</v>
      </c>
      <c r="E80" t="s">
        <v>430</v>
      </c>
      <c r="F80" t="s">
        <v>428</v>
      </c>
      <c r="G80" t="s">
        <v>335</v>
      </c>
      <c r="H80" t="s">
        <v>336</v>
      </c>
      <c r="I80">
        <v>0</v>
      </c>
      <c r="J80" s="9">
        <v>0.03</v>
      </c>
    </row>
    <row r="81" spans="1:11" x14ac:dyDescent="0.3">
      <c r="A81">
        <v>2021</v>
      </c>
      <c r="B81" t="s">
        <v>324</v>
      </c>
      <c r="C81" t="s">
        <v>325</v>
      </c>
      <c r="D81">
        <v>930000008</v>
      </c>
      <c r="E81" t="s">
        <v>431</v>
      </c>
      <c r="F81" t="s">
        <v>428</v>
      </c>
      <c r="G81" t="s">
        <v>331</v>
      </c>
      <c r="H81" t="s">
        <v>334</v>
      </c>
      <c r="I81">
        <v>32</v>
      </c>
      <c r="J81" s="9">
        <v>14.54</v>
      </c>
      <c r="K81" t="s">
        <v>327</v>
      </c>
    </row>
    <row r="82" spans="1:11" x14ac:dyDescent="0.3">
      <c r="A82">
        <v>2021</v>
      </c>
      <c r="B82" t="s">
        <v>324</v>
      </c>
      <c r="C82" t="s">
        <v>325</v>
      </c>
      <c r="D82">
        <v>930000014</v>
      </c>
      <c r="E82" t="s">
        <v>432</v>
      </c>
      <c r="F82" t="s">
        <v>428</v>
      </c>
      <c r="G82" t="s">
        <v>345</v>
      </c>
      <c r="H82" t="s">
        <v>346</v>
      </c>
      <c r="I82">
        <v>12</v>
      </c>
      <c r="J82" s="9">
        <v>12.93</v>
      </c>
      <c r="K82" t="s">
        <v>328</v>
      </c>
    </row>
    <row r="83" spans="1:11" x14ac:dyDescent="0.3">
      <c r="A83">
        <v>2021</v>
      </c>
      <c r="B83" t="s">
        <v>324</v>
      </c>
      <c r="C83" t="s">
        <v>325</v>
      </c>
      <c r="D83">
        <v>930000012</v>
      </c>
      <c r="E83" t="s">
        <v>433</v>
      </c>
      <c r="F83" t="s">
        <v>428</v>
      </c>
      <c r="G83" t="s">
        <v>331</v>
      </c>
      <c r="H83" t="s">
        <v>339</v>
      </c>
      <c r="I83">
        <v>0</v>
      </c>
      <c r="J83" s="9">
        <v>3.42</v>
      </c>
      <c r="K83" t="s">
        <v>326</v>
      </c>
    </row>
    <row r="84" spans="1:11" x14ac:dyDescent="0.3">
      <c r="A84">
        <v>2021</v>
      </c>
      <c r="B84" t="s">
        <v>324</v>
      </c>
      <c r="C84" t="s">
        <v>325</v>
      </c>
      <c r="D84">
        <v>930000002</v>
      </c>
      <c r="E84" t="s">
        <v>434</v>
      </c>
      <c r="F84" t="s">
        <v>428</v>
      </c>
      <c r="G84" t="s">
        <v>331</v>
      </c>
      <c r="H84" t="s">
        <v>334</v>
      </c>
      <c r="I84">
        <v>4</v>
      </c>
      <c r="J84" s="9">
        <v>8.61</v>
      </c>
      <c r="K84" t="s">
        <v>328</v>
      </c>
    </row>
    <row r="85" spans="1:11" x14ac:dyDescent="0.3">
      <c r="A85">
        <v>2021</v>
      </c>
      <c r="B85" t="s">
        <v>324</v>
      </c>
      <c r="C85" t="s">
        <v>325</v>
      </c>
      <c r="D85">
        <v>930000031</v>
      </c>
      <c r="E85" t="s">
        <v>435</v>
      </c>
      <c r="F85" t="s">
        <v>428</v>
      </c>
      <c r="G85" t="s">
        <v>335</v>
      </c>
      <c r="H85" t="s">
        <v>359</v>
      </c>
      <c r="I85">
        <v>1</v>
      </c>
      <c r="J85" s="9">
        <v>2.08</v>
      </c>
      <c r="K85" t="s">
        <v>328</v>
      </c>
    </row>
    <row r="86" spans="1:11" x14ac:dyDescent="0.3">
      <c r="A86">
        <v>2021</v>
      </c>
      <c r="B86" t="s">
        <v>324</v>
      </c>
      <c r="C86" t="s">
        <v>325</v>
      </c>
      <c r="D86">
        <v>930000020</v>
      </c>
      <c r="E86" t="s">
        <v>436</v>
      </c>
      <c r="F86" t="s">
        <v>428</v>
      </c>
      <c r="G86" t="s">
        <v>335</v>
      </c>
      <c r="H86" t="s">
        <v>336</v>
      </c>
      <c r="I86">
        <v>0</v>
      </c>
      <c r="J86" s="9">
        <v>0.69</v>
      </c>
      <c r="K86" t="s">
        <v>328</v>
      </c>
    </row>
    <row r="87" spans="1:11" x14ac:dyDescent="0.3">
      <c r="A87">
        <v>2021</v>
      </c>
      <c r="B87" t="s">
        <v>324</v>
      </c>
      <c r="C87" t="s">
        <v>325</v>
      </c>
      <c r="D87">
        <v>930000020</v>
      </c>
      <c r="E87" t="s">
        <v>437</v>
      </c>
      <c r="F87" t="s">
        <v>428</v>
      </c>
      <c r="G87" t="s">
        <v>331</v>
      </c>
      <c r="H87" t="s">
        <v>332</v>
      </c>
      <c r="I87">
        <v>0</v>
      </c>
      <c r="J87" s="9">
        <v>0.45</v>
      </c>
      <c r="K87" t="s">
        <v>328</v>
      </c>
    </row>
    <row r="88" spans="1:11" x14ac:dyDescent="0.3">
      <c r="A88">
        <v>2021</v>
      </c>
      <c r="B88" t="s">
        <v>324</v>
      </c>
      <c r="C88" t="s">
        <v>325</v>
      </c>
      <c r="D88">
        <v>930000013</v>
      </c>
      <c r="E88" t="s">
        <v>438</v>
      </c>
      <c r="F88" t="s">
        <v>428</v>
      </c>
      <c r="G88" t="s">
        <v>361</v>
      </c>
      <c r="H88" t="s">
        <v>362</v>
      </c>
      <c r="I88">
        <v>0</v>
      </c>
      <c r="J88" s="9">
        <v>0</v>
      </c>
    </row>
    <row r="89" spans="1:11" x14ac:dyDescent="0.3">
      <c r="A89">
        <v>2021</v>
      </c>
      <c r="B89" t="s">
        <v>324</v>
      </c>
      <c r="C89" t="s">
        <v>325</v>
      </c>
      <c r="D89">
        <v>930000044</v>
      </c>
      <c r="E89" t="s">
        <v>439</v>
      </c>
      <c r="F89" t="s">
        <v>428</v>
      </c>
      <c r="G89" t="s">
        <v>331</v>
      </c>
      <c r="H89" t="s">
        <v>339</v>
      </c>
      <c r="I89">
        <v>0</v>
      </c>
      <c r="J89" s="9">
        <v>4</v>
      </c>
      <c r="K89" t="s">
        <v>326</v>
      </c>
    </row>
    <row r="90" spans="1:11" x14ac:dyDescent="0.3">
      <c r="A90">
        <v>2021</v>
      </c>
      <c r="B90" t="s">
        <v>324</v>
      </c>
      <c r="C90" t="s">
        <v>325</v>
      </c>
      <c r="D90">
        <v>930000004</v>
      </c>
      <c r="E90" t="s">
        <v>440</v>
      </c>
      <c r="F90" t="s">
        <v>428</v>
      </c>
      <c r="G90" t="s">
        <v>331</v>
      </c>
      <c r="H90" t="s">
        <v>334</v>
      </c>
      <c r="I90">
        <v>65</v>
      </c>
      <c r="J90" s="9">
        <v>73.400000000000006</v>
      </c>
      <c r="K90" t="s">
        <v>328</v>
      </c>
    </row>
    <row r="91" spans="1:11" x14ac:dyDescent="0.3">
      <c r="A91">
        <v>2021</v>
      </c>
      <c r="B91" t="s">
        <v>324</v>
      </c>
      <c r="C91" t="s">
        <v>325</v>
      </c>
      <c r="D91">
        <v>930000022</v>
      </c>
      <c r="E91" t="s">
        <v>441</v>
      </c>
      <c r="F91" t="s">
        <v>428</v>
      </c>
      <c r="G91" t="s">
        <v>331</v>
      </c>
      <c r="H91" t="s">
        <v>339</v>
      </c>
      <c r="I91">
        <v>4</v>
      </c>
      <c r="J91" s="9">
        <v>11.46</v>
      </c>
      <c r="K91" t="s">
        <v>326</v>
      </c>
    </row>
    <row r="92" spans="1:11" x14ac:dyDescent="0.3">
      <c r="A92">
        <v>2021</v>
      </c>
      <c r="B92" t="s">
        <v>324</v>
      </c>
      <c r="C92" t="s">
        <v>325</v>
      </c>
      <c r="D92">
        <v>930000022</v>
      </c>
      <c r="E92" t="s">
        <v>441</v>
      </c>
      <c r="F92" t="s">
        <v>428</v>
      </c>
      <c r="G92" t="s">
        <v>335</v>
      </c>
      <c r="H92" t="s">
        <v>336</v>
      </c>
      <c r="I92">
        <v>0</v>
      </c>
      <c r="J92" s="9">
        <v>0.39</v>
      </c>
      <c r="K92" t="s">
        <v>328</v>
      </c>
    </row>
    <row r="93" spans="1:11" x14ac:dyDescent="0.3">
      <c r="A93">
        <v>2021</v>
      </c>
      <c r="B93" t="s">
        <v>324</v>
      </c>
      <c r="C93" t="s">
        <v>325</v>
      </c>
      <c r="D93">
        <v>930000034</v>
      </c>
      <c r="E93" t="s">
        <v>442</v>
      </c>
      <c r="F93" t="s">
        <v>428</v>
      </c>
      <c r="G93" t="s">
        <v>331</v>
      </c>
      <c r="H93" t="s">
        <v>351</v>
      </c>
      <c r="I93">
        <v>41</v>
      </c>
      <c r="J93" s="9">
        <v>65.39</v>
      </c>
      <c r="K93" t="s">
        <v>326</v>
      </c>
    </row>
    <row r="94" spans="1:11" x14ac:dyDescent="0.3">
      <c r="A94">
        <v>2021</v>
      </c>
      <c r="B94" t="s">
        <v>324</v>
      </c>
      <c r="C94" t="s">
        <v>325</v>
      </c>
      <c r="D94">
        <v>930000036</v>
      </c>
      <c r="E94" t="s">
        <v>443</v>
      </c>
      <c r="F94" t="s">
        <v>428</v>
      </c>
      <c r="G94" t="s">
        <v>331</v>
      </c>
      <c r="H94" t="s">
        <v>339</v>
      </c>
      <c r="I94">
        <v>56</v>
      </c>
      <c r="J94" s="9">
        <v>57.82</v>
      </c>
      <c r="K94" t="s">
        <v>328</v>
      </c>
    </row>
    <row r="95" spans="1:11" x14ac:dyDescent="0.3">
      <c r="A95">
        <v>2021</v>
      </c>
      <c r="B95" t="s">
        <v>324</v>
      </c>
      <c r="C95" t="s">
        <v>325</v>
      </c>
      <c r="D95">
        <v>930000038</v>
      </c>
      <c r="E95" t="s">
        <v>444</v>
      </c>
      <c r="F95" t="s">
        <v>428</v>
      </c>
      <c r="G95" t="s">
        <v>331</v>
      </c>
      <c r="H95" t="s">
        <v>332</v>
      </c>
      <c r="I95">
        <v>2</v>
      </c>
      <c r="J95" s="9">
        <v>2.13</v>
      </c>
      <c r="K95" t="s">
        <v>328</v>
      </c>
    </row>
    <row r="96" spans="1:11" x14ac:dyDescent="0.3">
      <c r="A96">
        <v>2021</v>
      </c>
      <c r="B96" t="s">
        <v>324</v>
      </c>
      <c r="C96" t="s">
        <v>325</v>
      </c>
      <c r="D96">
        <v>930000114</v>
      </c>
      <c r="E96" t="s">
        <v>445</v>
      </c>
      <c r="F96" t="s">
        <v>428</v>
      </c>
      <c r="G96" t="s">
        <v>331</v>
      </c>
      <c r="H96" t="s">
        <v>339</v>
      </c>
      <c r="I96">
        <v>1</v>
      </c>
      <c r="J96" s="9">
        <v>1.4</v>
      </c>
      <c r="K96" t="s">
        <v>328</v>
      </c>
    </row>
    <row r="97" spans="1:11" x14ac:dyDescent="0.3">
      <c r="A97">
        <v>2021</v>
      </c>
      <c r="B97" t="s">
        <v>324</v>
      </c>
      <c r="C97" t="s">
        <v>325</v>
      </c>
      <c r="D97">
        <v>930000040</v>
      </c>
      <c r="E97" t="s">
        <v>446</v>
      </c>
      <c r="F97" t="s">
        <v>428</v>
      </c>
      <c r="G97" t="s">
        <v>331</v>
      </c>
      <c r="H97" t="s">
        <v>332</v>
      </c>
      <c r="I97">
        <v>1</v>
      </c>
      <c r="J97" s="9">
        <v>1.5</v>
      </c>
      <c r="K97" t="s">
        <v>328</v>
      </c>
    </row>
    <row r="98" spans="1:11" x14ac:dyDescent="0.3">
      <c r="A98">
        <v>2021</v>
      </c>
      <c r="B98" t="s">
        <v>324</v>
      </c>
      <c r="C98" t="s">
        <v>325</v>
      </c>
      <c r="D98">
        <v>930000158</v>
      </c>
      <c r="E98" t="s">
        <v>447</v>
      </c>
      <c r="F98" t="s">
        <v>428</v>
      </c>
      <c r="G98" t="s">
        <v>331</v>
      </c>
      <c r="H98" t="s">
        <v>332</v>
      </c>
      <c r="I98">
        <v>0</v>
      </c>
      <c r="J98" s="9">
        <v>0</v>
      </c>
    </row>
    <row r="99" spans="1:11" x14ac:dyDescent="0.3">
      <c r="A99">
        <v>2021</v>
      </c>
      <c r="B99" t="s">
        <v>324</v>
      </c>
      <c r="C99" t="s">
        <v>325</v>
      </c>
      <c r="D99">
        <v>930000053</v>
      </c>
      <c r="E99" t="s">
        <v>448</v>
      </c>
      <c r="F99" t="s">
        <v>428</v>
      </c>
      <c r="G99" t="s">
        <v>331</v>
      </c>
      <c r="H99" t="s">
        <v>339</v>
      </c>
      <c r="I99">
        <v>3</v>
      </c>
      <c r="J99" s="9">
        <v>1.07</v>
      </c>
      <c r="K99" t="s">
        <v>328</v>
      </c>
    </row>
    <row r="100" spans="1:11" x14ac:dyDescent="0.3">
      <c r="A100">
        <v>2021</v>
      </c>
      <c r="B100" t="s">
        <v>324</v>
      </c>
      <c r="C100" t="s">
        <v>325</v>
      </c>
      <c r="D100">
        <v>930000056</v>
      </c>
      <c r="E100" t="s">
        <v>449</v>
      </c>
      <c r="F100" t="s">
        <v>428</v>
      </c>
      <c r="G100" t="s">
        <v>331</v>
      </c>
      <c r="H100" t="s">
        <v>334</v>
      </c>
      <c r="I100">
        <v>0</v>
      </c>
      <c r="J100" s="9">
        <v>5.78</v>
      </c>
      <c r="K100" t="s">
        <v>326</v>
      </c>
    </row>
    <row r="101" spans="1:11" x14ac:dyDescent="0.3">
      <c r="A101">
        <v>2021</v>
      </c>
      <c r="B101" t="s">
        <v>324</v>
      </c>
      <c r="C101" t="s">
        <v>325</v>
      </c>
      <c r="D101">
        <v>930000070</v>
      </c>
      <c r="E101" t="s">
        <v>450</v>
      </c>
      <c r="F101" t="s">
        <v>428</v>
      </c>
      <c r="G101" t="s">
        <v>331</v>
      </c>
      <c r="H101" t="s">
        <v>334</v>
      </c>
      <c r="I101">
        <v>0</v>
      </c>
      <c r="J101" s="9">
        <v>7.63</v>
      </c>
      <c r="K101" t="s">
        <v>326</v>
      </c>
    </row>
    <row r="102" spans="1:11" x14ac:dyDescent="0.3">
      <c r="A102">
        <v>2021</v>
      </c>
      <c r="B102" t="s">
        <v>324</v>
      </c>
      <c r="C102" t="s">
        <v>325</v>
      </c>
      <c r="D102">
        <v>930000132</v>
      </c>
      <c r="E102" t="s">
        <v>451</v>
      </c>
      <c r="F102" t="s">
        <v>428</v>
      </c>
      <c r="G102" t="s">
        <v>331</v>
      </c>
      <c r="H102" t="s">
        <v>334</v>
      </c>
      <c r="I102">
        <v>1</v>
      </c>
      <c r="J102" s="9">
        <v>11.75</v>
      </c>
      <c r="K102" t="s">
        <v>326</v>
      </c>
    </row>
    <row r="103" spans="1:11" x14ac:dyDescent="0.3">
      <c r="A103">
        <v>2021</v>
      </c>
      <c r="B103" t="s">
        <v>324</v>
      </c>
      <c r="C103" t="s">
        <v>325</v>
      </c>
      <c r="D103">
        <v>930000132</v>
      </c>
      <c r="E103" t="s">
        <v>451</v>
      </c>
      <c r="F103" t="s">
        <v>428</v>
      </c>
      <c r="G103" t="s">
        <v>335</v>
      </c>
      <c r="H103" t="s">
        <v>336</v>
      </c>
      <c r="I103">
        <v>0</v>
      </c>
      <c r="J103" s="9">
        <v>0.2</v>
      </c>
      <c r="K103" t="s">
        <v>328</v>
      </c>
    </row>
    <row r="104" spans="1:11" x14ac:dyDescent="0.3">
      <c r="A104">
        <v>2021</v>
      </c>
      <c r="B104" t="s">
        <v>324</v>
      </c>
      <c r="C104" t="s">
        <v>325</v>
      </c>
      <c r="D104">
        <v>930000054</v>
      </c>
      <c r="E104" t="s">
        <v>452</v>
      </c>
      <c r="F104" t="s">
        <v>428</v>
      </c>
      <c r="G104" t="s">
        <v>331</v>
      </c>
      <c r="H104" t="s">
        <v>339</v>
      </c>
      <c r="I104">
        <v>0</v>
      </c>
      <c r="J104" s="9">
        <v>0.87</v>
      </c>
      <c r="K104" t="s">
        <v>328</v>
      </c>
    </row>
    <row r="105" spans="1:11" x14ac:dyDescent="0.3">
      <c r="A105">
        <v>2021</v>
      </c>
      <c r="B105" t="s">
        <v>324</v>
      </c>
      <c r="C105" t="s">
        <v>325</v>
      </c>
      <c r="D105">
        <v>930000054</v>
      </c>
      <c r="E105" t="s">
        <v>452</v>
      </c>
      <c r="F105" t="s">
        <v>428</v>
      </c>
      <c r="G105" t="s">
        <v>335</v>
      </c>
      <c r="H105" t="s">
        <v>336</v>
      </c>
      <c r="I105">
        <v>0</v>
      </c>
      <c r="J105" s="9">
        <v>0</v>
      </c>
    </row>
    <row r="106" spans="1:11" x14ac:dyDescent="0.3">
      <c r="A106">
        <v>2021</v>
      </c>
      <c r="B106" t="s">
        <v>324</v>
      </c>
      <c r="C106" t="s">
        <v>325</v>
      </c>
      <c r="D106">
        <v>930000058</v>
      </c>
      <c r="E106" t="s">
        <v>453</v>
      </c>
      <c r="F106" t="s">
        <v>428</v>
      </c>
      <c r="G106" t="s">
        <v>331</v>
      </c>
      <c r="H106" t="s">
        <v>339</v>
      </c>
      <c r="I106">
        <v>9</v>
      </c>
      <c r="J106" s="9">
        <v>5.17</v>
      </c>
      <c r="K106" t="s">
        <v>328</v>
      </c>
    </row>
    <row r="107" spans="1:11" x14ac:dyDescent="0.3">
      <c r="A107">
        <v>2021</v>
      </c>
      <c r="B107" t="s">
        <v>324</v>
      </c>
      <c r="C107" t="s">
        <v>325</v>
      </c>
      <c r="D107">
        <v>930000058</v>
      </c>
      <c r="E107" t="s">
        <v>453</v>
      </c>
      <c r="F107" t="s">
        <v>428</v>
      </c>
      <c r="G107" t="s">
        <v>335</v>
      </c>
      <c r="H107" t="s">
        <v>336</v>
      </c>
      <c r="I107">
        <v>0</v>
      </c>
      <c r="J107" s="9">
        <v>0.13</v>
      </c>
    </row>
    <row r="108" spans="1:11" x14ac:dyDescent="0.3">
      <c r="A108">
        <v>2021</v>
      </c>
      <c r="B108" t="s">
        <v>324</v>
      </c>
      <c r="C108" t="s">
        <v>325</v>
      </c>
      <c r="D108">
        <v>930000093</v>
      </c>
      <c r="E108" t="s">
        <v>454</v>
      </c>
      <c r="F108" t="s">
        <v>428</v>
      </c>
      <c r="G108" t="s">
        <v>331</v>
      </c>
      <c r="H108" t="s">
        <v>353</v>
      </c>
      <c r="I108">
        <v>3</v>
      </c>
      <c r="J108" s="9">
        <v>4.3099999999999996</v>
      </c>
      <c r="K108" t="s">
        <v>328</v>
      </c>
    </row>
    <row r="109" spans="1:11" x14ac:dyDescent="0.3">
      <c r="A109">
        <v>2021</v>
      </c>
      <c r="B109" t="s">
        <v>324</v>
      </c>
      <c r="C109" t="s">
        <v>325</v>
      </c>
      <c r="D109">
        <v>930000093</v>
      </c>
      <c r="E109" t="s">
        <v>454</v>
      </c>
      <c r="F109" t="s">
        <v>428</v>
      </c>
      <c r="G109" t="s">
        <v>335</v>
      </c>
      <c r="H109" t="s">
        <v>336</v>
      </c>
      <c r="I109">
        <v>0</v>
      </c>
      <c r="J109" s="9">
        <v>0.06</v>
      </c>
    </row>
    <row r="110" spans="1:11" x14ac:dyDescent="0.3">
      <c r="A110">
        <v>2021</v>
      </c>
      <c r="B110" t="s">
        <v>324</v>
      </c>
      <c r="C110" t="s">
        <v>325</v>
      </c>
      <c r="D110">
        <v>930000068</v>
      </c>
      <c r="E110" t="s">
        <v>455</v>
      </c>
      <c r="F110" t="s">
        <v>428</v>
      </c>
      <c r="G110" t="s">
        <v>331</v>
      </c>
      <c r="H110" t="s">
        <v>353</v>
      </c>
      <c r="I110">
        <v>9</v>
      </c>
      <c r="J110" s="9">
        <v>11.88</v>
      </c>
      <c r="K110" t="s">
        <v>328</v>
      </c>
    </row>
    <row r="111" spans="1:11" x14ac:dyDescent="0.3">
      <c r="A111">
        <v>2021</v>
      </c>
      <c r="B111" t="s">
        <v>324</v>
      </c>
      <c r="C111" t="s">
        <v>325</v>
      </c>
      <c r="D111">
        <v>930000068</v>
      </c>
      <c r="E111" t="s">
        <v>455</v>
      </c>
      <c r="F111" t="s">
        <v>428</v>
      </c>
      <c r="G111" t="s">
        <v>335</v>
      </c>
      <c r="H111" t="s">
        <v>336</v>
      </c>
      <c r="I111">
        <v>0</v>
      </c>
      <c r="J111" s="9">
        <v>0.18</v>
      </c>
    </row>
    <row r="112" spans="1:11" x14ac:dyDescent="0.3">
      <c r="A112">
        <v>2021</v>
      </c>
      <c r="B112" t="s">
        <v>324</v>
      </c>
      <c r="C112" t="s">
        <v>325</v>
      </c>
      <c r="D112">
        <v>930000062</v>
      </c>
      <c r="E112" t="s">
        <v>456</v>
      </c>
      <c r="F112" t="s">
        <v>428</v>
      </c>
      <c r="G112" t="s">
        <v>331</v>
      </c>
      <c r="H112" t="s">
        <v>332</v>
      </c>
      <c r="I112">
        <v>0</v>
      </c>
      <c r="J112" s="9">
        <v>3.03</v>
      </c>
      <c r="K112" t="s">
        <v>326</v>
      </c>
    </row>
    <row r="113" spans="1:11" x14ac:dyDescent="0.3">
      <c r="A113">
        <v>2021</v>
      </c>
      <c r="B113" t="s">
        <v>324</v>
      </c>
      <c r="C113" t="s">
        <v>325</v>
      </c>
      <c r="D113">
        <v>930000063</v>
      </c>
      <c r="E113" t="s">
        <v>457</v>
      </c>
      <c r="F113" t="s">
        <v>428</v>
      </c>
      <c r="G113" t="s">
        <v>331</v>
      </c>
      <c r="H113" t="s">
        <v>353</v>
      </c>
      <c r="I113">
        <v>13</v>
      </c>
      <c r="J113" s="9">
        <v>6.41</v>
      </c>
      <c r="K113" t="s">
        <v>327</v>
      </c>
    </row>
    <row r="114" spans="1:11" x14ac:dyDescent="0.3">
      <c r="A114">
        <v>2021</v>
      </c>
      <c r="B114" t="s">
        <v>324</v>
      </c>
      <c r="C114" t="s">
        <v>325</v>
      </c>
      <c r="D114">
        <v>930000063</v>
      </c>
      <c r="E114" t="s">
        <v>457</v>
      </c>
      <c r="F114" t="s">
        <v>428</v>
      </c>
      <c r="G114" t="s">
        <v>335</v>
      </c>
      <c r="H114" t="s">
        <v>336</v>
      </c>
      <c r="I114">
        <v>0</v>
      </c>
      <c r="J114" s="9">
        <v>0.11</v>
      </c>
    </row>
    <row r="115" spans="1:11" x14ac:dyDescent="0.3">
      <c r="A115">
        <v>2021</v>
      </c>
      <c r="B115" t="s">
        <v>324</v>
      </c>
      <c r="C115" t="s">
        <v>325</v>
      </c>
      <c r="D115">
        <v>930000065</v>
      </c>
      <c r="E115" t="s">
        <v>458</v>
      </c>
      <c r="F115" t="s">
        <v>428</v>
      </c>
      <c r="G115" t="s">
        <v>331</v>
      </c>
      <c r="H115" t="s">
        <v>353</v>
      </c>
      <c r="I115">
        <v>8</v>
      </c>
      <c r="J115" s="9">
        <v>6.63</v>
      </c>
      <c r="K115" t="s">
        <v>328</v>
      </c>
    </row>
    <row r="116" spans="1:11" x14ac:dyDescent="0.3">
      <c r="A116">
        <v>2021</v>
      </c>
      <c r="B116" t="s">
        <v>324</v>
      </c>
      <c r="C116" t="s">
        <v>325</v>
      </c>
      <c r="D116">
        <v>930000065</v>
      </c>
      <c r="E116" t="s">
        <v>458</v>
      </c>
      <c r="F116" t="s">
        <v>428</v>
      </c>
      <c r="G116" t="s">
        <v>335</v>
      </c>
      <c r="H116" t="s">
        <v>336</v>
      </c>
      <c r="I116">
        <v>0</v>
      </c>
      <c r="J116" s="9">
        <v>0.15</v>
      </c>
    </row>
    <row r="117" spans="1:11" x14ac:dyDescent="0.3">
      <c r="A117">
        <v>2021</v>
      </c>
      <c r="B117" t="s">
        <v>324</v>
      </c>
      <c r="C117" t="s">
        <v>325</v>
      </c>
      <c r="D117">
        <v>930000026</v>
      </c>
      <c r="E117" t="s">
        <v>459</v>
      </c>
      <c r="F117" t="s">
        <v>428</v>
      </c>
      <c r="G117" t="s">
        <v>331</v>
      </c>
      <c r="H117" t="s">
        <v>353</v>
      </c>
      <c r="I117">
        <v>4</v>
      </c>
      <c r="J117" s="9">
        <v>11.42</v>
      </c>
      <c r="K117" t="s">
        <v>326</v>
      </c>
    </row>
    <row r="118" spans="1:11" x14ac:dyDescent="0.3">
      <c r="A118">
        <v>2021</v>
      </c>
      <c r="B118" t="s">
        <v>324</v>
      </c>
      <c r="C118" t="s">
        <v>325</v>
      </c>
      <c r="D118">
        <v>930000026</v>
      </c>
      <c r="E118" t="s">
        <v>459</v>
      </c>
      <c r="F118" t="s">
        <v>428</v>
      </c>
      <c r="G118" t="s">
        <v>335</v>
      </c>
      <c r="H118" t="s">
        <v>336</v>
      </c>
      <c r="I118">
        <v>0</v>
      </c>
      <c r="J118" s="9">
        <v>0.12</v>
      </c>
    </row>
    <row r="119" spans="1:11" x14ac:dyDescent="0.3">
      <c r="A119">
        <v>2021</v>
      </c>
      <c r="B119" t="s">
        <v>324</v>
      </c>
      <c r="C119" t="s">
        <v>325</v>
      </c>
      <c r="D119">
        <v>930001543</v>
      </c>
      <c r="E119" t="s">
        <v>460</v>
      </c>
      <c r="F119" t="s">
        <v>428</v>
      </c>
      <c r="G119" t="s">
        <v>331</v>
      </c>
      <c r="H119" t="s">
        <v>334</v>
      </c>
      <c r="I119">
        <v>2</v>
      </c>
      <c r="J119" s="9">
        <v>5.14</v>
      </c>
      <c r="K119" t="s">
        <v>328</v>
      </c>
    </row>
    <row r="120" spans="1:11" x14ac:dyDescent="0.3">
      <c r="A120">
        <v>2021</v>
      </c>
      <c r="B120" t="s">
        <v>324</v>
      </c>
      <c r="C120" t="s">
        <v>325</v>
      </c>
      <c r="D120">
        <v>930000074</v>
      </c>
      <c r="E120" t="s">
        <v>461</v>
      </c>
      <c r="F120" t="s">
        <v>428</v>
      </c>
      <c r="G120" t="s">
        <v>331</v>
      </c>
      <c r="H120" t="s">
        <v>334</v>
      </c>
      <c r="I120">
        <v>16</v>
      </c>
      <c r="J120" s="9">
        <v>8.16</v>
      </c>
      <c r="K120" t="s">
        <v>327</v>
      </c>
    </row>
    <row r="121" spans="1:11" x14ac:dyDescent="0.3">
      <c r="A121">
        <v>2021</v>
      </c>
      <c r="B121" t="s">
        <v>324</v>
      </c>
      <c r="C121" t="s">
        <v>325</v>
      </c>
      <c r="D121">
        <v>930000072</v>
      </c>
      <c r="E121" t="s">
        <v>462</v>
      </c>
      <c r="F121" t="s">
        <v>428</v>
      </c>
      <c r="G121" t="s">
        <v>331</v>
      </c>
      <c r="H121" t="s">
        <v>334</v>
      </c>
      <c r="I121">
        <v>26</v>
      </c>
      <c r="J121" s="9">
        <v>21.64</v>
      </c>
      <c r="K121" t="s">
        <v>328</v>
      </c>
    </row>
    <row r="122" spans="1:11" x14ac:dyDescent="0.3">
      <c r="A122">
        <v>2021</v>
      </c>
      <c r="B122" t="s">
        <v>324</v>
      </c>
      <c r="C122" t="s">
        <v>325</v>
      </c>
      <c r="D122">
        <v>930000050</v>
      </c>
      <c r="E122" t="s">
        <v>463</v>
      </c>
      <c r="F122" t="s">
        <v>428</v>
      </c>
      <c r="G122" t="s">
        <v>331</v>
      </c>
      <c r="H122" t="s">
        <v>334</v>
      </c>
      <c r="I122">
        <v>10</v>
      </c>
      <c r="J122" s="9">
        <v>5.9</v>
      </c>
      <c r="K122" t="s">
        <v>328</v>
      </c>
    </row>
    <row r="123" spans="1:11" x14ac:dyDescent="0.3">
      <c r="A123">
        <v>2021</v>
      </c>
      <c r="B123" t="s">
        <v>324</v>
      </c>
      <c r="C123" t="s">
        <v>325</v>
      </c>
      <c r="D123">
        <v>930000071</v>
      </c>
      <c r="E123" t="s">
        <v>464</v>
      </c>
      <c r="F123" t="s">
        <v>428</v>
      </c>
      <c r="G123" t="s">
        <v>331</v>
      </c>
      <c r="H123" t="s">
        <v>334</v>
      </c>
      <c r="I123">
        <v>10</v>
      </c>
      <c r="J123" s="9">
        <v>7.54</v>
      </c>
      <c r="K123" t="s">
        <v>328</v>
      </c>
    </row>
    <row r="124" spans="1:11" x14ac:dyDescent="0.3">
      <c r="A124">
        <v>2021</v>
      </c>
      <c r="B124" t="s">
        <v>324</v>
      </c>
      <c r="C124" t="s">
        <v>325</v>
      </c>
      <c r="D124">
        <v>930000076</v>
      </c>
      <c r="E124" t="s">
        <v>465</v>
      </c>
      <c r="F124" t="s">
        <v>428</v>
      </c>
      <c r="G124" t="s">
        <v>331</v>
      </c>
      <c r="H124" t="s">
        <v>334</v>
      </c>
      <c r="I124">
        <v>10</v>
      </c>
      <c r="J124" s="9">
        <v>9.2899999999999991</v>
      </c>
      <c r="K124" t="s">
        <v>328</v>
      </c>
    </row>
    <row r="125" spans="1:11" x14ac:dyDescent="0.3">
      <c r="A125">
        <v>2021</v>
      </c>
      <c r="B125" t="s">
        <v>324</v>
      </c>
      <c r="C125" t="s">
        <v>325</v>
      </c>
      <c r="D125">
        <v>930000290</v>
      </c>
      <c r="E125" t="s">
        <v>466</v>
      </c>
      <c r="F125" t="s">
        <v>428</v>
      </c>
      <c r="G125" t="s">
        <v>331</v>
      </c>
      <c r="H125" t="s">
        <v>334</v>
      </c>
      <c r="I125">
        <v>10</v>
      </c>
      <c r="J125" s="9">
        <v>4.67</v>
      </c>
      <c r="K125" t="s">
        <v>327</v>
      </c>
    </row>
    <row r="126" spans="1:11" x14ac:dyDescent="0.3">
      <c r="A126">
        <v>2021</v>
      </c>
      <c r="B126" t="s">
        <v>324</v>
      </c>
      <c r="C126" t="s">
        <v>325</v>
      </c>
      <c r="D126">
        <v>930000912</v>
      </c>
      <c r="E126" t="s">
        <v>467</v>
      </c>
      <c r="F126" t="s">
        <v>428</v>
      </c>
      <c r="G126" t="s">
        <v>331</v>
      </c>
      <c r="H126" t="s">
        <v>334</v>
      </c>
      <c r="I126">
        <v>15</v>
      </c>
      <c r="J126" s="9">
        <v>32.880000000000003</v>
      </c>
      <c r="K126" t="s">
        <v>326</v>
      </c>
    </row>
    <row r="127" spans="1:11" x14ac:dyDescent="0.3">
      <c r="A127">
        <v>2021</v>
      </c>
      <c r="B127" t="s">
        <v>324</v>
      </c>
      <c r="C127" t="s">
        <v>325</v>
      </c>
      <c r="D127">
        <v>930000912</v>
      </c>
      <c r="E127" t="s">
        <v>467</v>
      </c>
      <c r="F127" t="s">
        <v>428</v>
      </c>
      <c r="G127" t="s">
        <v>335</v>
      </c>
      <c r="H127" t="s">
        <v>336</v>
      </c>
      <c r="I127">
        <v>2</v>
      </c>
      <c r="J127" s="9">
        <v>0.11</v>
      </c>
    </row>
    <row r="128" spans="1:11" x14ac:dyDescent="0.3">
      <c r="A128">
        <v>2021</v>
      </c>
      <c r="B128" t="s">
        <v>324</v>
      </c>
      <c r="C128" t="s">
        <v>325</v>
      </c>
      <c r="D128">
        <v>930000033</v>
      </c>
      <c r="E128" t="s">
        <v>468</v>
      </c>
      <c r="F128" t="s">
        <v>428</v>
      </c>
      <c r="G128" t="s">
        <v>345</v>
      </c>
      <c r="H128" t="s">
        <v>346</v>
      </c>
      <c r="I128">
        <v>10</v>
      </c>
      <c r="J128" s="9">
        <v>10.54</v>
      </c>
      <c r="K128" t="s">
        <v>328</v>
      </c>
    </row>
    <row r="129" spans="1:11" x14ac:dyDescent="0.3">
      <c r="A129">
        <v>2021</v>
      </c>
      <c r="B129" t="s">
        <v>324</v>
      </c>
      <c r="C129" t="s">
        <v>325</v>
      </c>
      <c r="D129">
        <v>930000144</v>
      </c>
      <c r="E129" t="s">
        <v>469</v>
      </c>
      <c r="F129" t="s">
        <v>428</v>
      </c>
      <c r="G129" t="s">
        <v>345</v>
      </c>
      <c r="H129" t="s">
        <v>346</v>
      </c>
      <c r="I129">
        <v>11</v>
      </c>
      <c r="J129" s="9">
        <v>15.46</v>
      </c>
      <c r="K129" t="s">
        <v>328</v>
      </c>
    </row>
    <row r="130" spans="1:11" x14ac:dyDescent="0.3">
      <c r="A130">
        <v>2021</v>
      </c>
      <c r="B130" t="s">
        <v>324</v>
      </c>
      <c r="C130" t="s">
        <v>325</v>
      </c>
      <c r="D130">
        <v>930000089</v>
      </c>
      <c r="E130" t="s">
        <v>470</v>
      </c>
      <c r="F130" t="s">
        <v>428</v>
      </c>
      <c r="G130" t="s">
        <v>345</v>
      </c>
      <c r="H130" t="s">
        <v>346</v>
      </c>
      <c r="I130">
        <v>14</v>
      </c>
      <c r="J130" s="9">
        <v>9.52</v>
      </c>
      <c r="K130" t="s">
        <v>328</v>
      </c>
    </row>
    <row r="131" spans="1:11" x14ac:dyDescent="0.3">
      <c r="A131">
        <v>2021</v>
      </c>
      <c r="B131" t="s">
        <v>324</v>
      </c>
      <c r="C131" t="s">
        <v>325</v>
      </c>
      <c r="D131">
        <v>930000088</v>
      </c>
      <c r="E131" t="s">
        <v>471</v>
      </c>
      <c r="F131" t="s">
        <v>428</v>
      </c>
      <c r="G131" t="s">
        <v>345</v>
      </c>
      <c r="H131" t="s">
        <v>346</v>
      </c>
      <c r="I131">
        <v>39</v>
      </c>
      <c r="J131" s="9">
        <v>10.24</v>
      </c>
      <c r="K131" t="s">
        <v>327</v>
      </c>
    </row>
    <row r="132" spans="1:11" x14ac:dyDescent="0.3">
      <c r="A132">
        <v>2021</v>
      </c>
      <c r="B132" t="s">
        <v>324</v>
      </c>
      <c r="C132" t="s">
        <v>325</v>
      </c>
      <c r="D132">
        <v>930000042</v>
      </c>
      <c r="E132" t="s">
        <v>472</v>
      </c>
      <c r="F132" t="s">
        <v>428</v>
      </c>
      <c r="G132" t="s">
        <v>345</v>
      </c>
      <c r="H132" t="s">
        <v>346</v>
      </c>
      <c r="I132">
        <v>12</v>
      </c>
      <c r="J132" s="9">
        <v>10.74</v>
      </c>
      <c r="K132" t="s">
        <v>328</v>
      </c>
    </row>
    <row r="133" spans="1:11" x14ac:dyDescent="0.3">
      <c r="A133">
        <v>2021</v>
      </c>
      <c r="B133" t="s">
        <v>324</v>
      </c>
      <c r="C133" t="s">
        <v>325</v>
      </c>
      <c r="D133">
        <v>930000039</v>
      </c>
      <c r="E133" t="s">
        <v>473</v>
      </c>
      <c r="F133" t="s">
        <v>428</v>
      </c>
      <c r="G133" t="s">
        <v>345</v>
      </c>
      <c r="H133" t="s">
        <v>346</v>
      </c>
      <c r="I133">
        <v>32</v>
      </c>
      <c r="J133" s="9">
        <v>8.99</v>
      </c>
      <c r="K133" t="s">
        <v>327</v>
      </c>
    </row>
    <row r="134" spans="1:11" x14ac:dyDescent="0.3">
      <c r="A134">
        <v>2021</v>
      </c>
      <c r="B134" t="s">
        <v>324</v>
      </c>
      <c r="C134" t="s">
        <v>325</v>
      </c>
      <c r="D134">
        <v>930000035</v>
      </c>
      <c r="E134" t="s">
        <v>474</v>
      </c>
      <c r="F134" t="s">
        <v>428</v>
      </c>
      <c r="G134" t="s">
        <v>331</v>
      </c>
      <c r="H134" t="s">
        <v>332</v>
      </c>
      <c r="I134">
        <v>1</v>
      </c>
      <c r="J134" s="9">
        <v>1.9</v>
      </c>
      <c r="K134" t="s">
        <v>328</v>
      </c>
    </row>
    <row r="135" spans="1:11" x14ac:dyDescent="0.3">
      <c r="A135">
        <v>2021</v>
      </c>
      <c r="B135" t="s">
        <v>324</v>
      </c>
      <c r="C135" t="s">
        <v>325</v>
      </c>
      <c r="D135">
        <v>60000040</v>
      </c>
      <c r="E135" t="s">
        <v>475</v>
      </c>
      <c r="F135" t="s">
        <v>428</v>
      </c>
      <c r="G135" t="s">
        <v>331</v>
      </c>
      <c r="H135" t="s">
        <v>334</v>
      </c>
      <c r="I135">
        <v>14</v>
      </c>
      <c r="J135" s="9">
        <v>29.8</v>
      </c>
      <c r="K135" t="s">
        <v>326</v>
      </c>
    </row>
    <row r="136" spans="1:11" x14ac:dyDescent="0.3">
      <c r="A136">
        <v>2021</v>
      </c>
      <c r="B136" t="s">
        <v>324</v>
      </c>
      <c r="C136" t="s">
        <v>325</v>
      </c>
      <c r="D136">
        <v>60000027</v>
      </c>
      <c r="E136" t="s">
        <v>476</v>
      </c>
      <c r="F136" t="s">
        <v>428</v>
      </c>
      <c r="G136" t="s">
        <v>331</v>
      </c>
      <c r="H136" t="s">
        <v>334</v>
      </c>
      <c r="I136">
        <v>38</v>
      </c>
      <c r="J136" s="9">
        <v>19.23</v>
      </c>
      <c r="K136" t="s">
        <v>327</v>
      </c>
    </row>
    <row r="137" spans="1:11" x14ac:dyDescent="0.3">
      <c r="A137">
        <v>2021</v>
      </c>
      <c r="B137" t="s">
        <v>324</v>
      </c>
      <c r="C137" t="s">
        <v>325</v>
      </c>
      <c r="D137">
        <v>60000038</v>
      </c>
      <c r="E137" t="s">
        <v>477</v>
      </c>
      <c r="F137" t="s">
        <v>428</v>
      </c>
      <c r="G137" t="s">
        <v>331</v>
      </c>
      <c r="H137" t="s">
        <v>334</v>
      </c>
      <c r="I137">
        <v>9</v>
      </c>
      <c r="J137" s="9">
        <v>7.88</v>
      </c>
      <c r="K137" t="s">
        <v>328</v>
      </c>
    </row>
    <row r="138" spans="1:11" x14ac:dyDescent="0.3">
      <c r="A138">
        <v>2021</v>
      </c>
      <c r="B138" t="s">
        <v>324</v>
      </c>
      <c r="C138" t="s">
        <v>325</v>
      </c>
      <c r="D138">
        <v>60000028</v>
      </c>
      <c r="E138" t="s">
        <v>478</v>
      </c>
      <c r="F138" t="s">
        <v>428</v>
      </c>
      <c r="G138" t="s">
        <v>331</v>
      </c>
      <c r="H138" t="s">
        <v>339</v>
      </c>
      <c r="I138">
        <v>0</v>
      </c>
      <c r="J138" s="9">
        <v>4.62</v>
      </c>
      <c r="K138" t="s">
        <v>326</v>
      </c>
    </row>
    <row r="139" spans="1:11" x14ac:dyDescent="0.3">
      <c r="A139">
        <v>2021</v>
      </c>
      <c r="B139" t="s">
        <v>324</v>
      </c>
      <c r="C139" t="s">
        <v>325</v>
      </c>
      <c r="D139">
        <v>60000028</v>
      </c>
      <c r="E139" t="s">
        <v>478</v>
      </c>
      <c r="F139" t="s">
        <v>428</v>
      </c>
      <c r="G139" t="s">
        <v>335</v>
      </c>
      <c r="H139" t="s">
        <v>336</v>
      </c>
      <c r="I139">
        <v>0</v>
      </c>
      <c r="J139" s="9">
        <v>0.68</v>
      </c>
      <c r="K139" t="s">
        <v>328</v>
      </c>
    </row>
    <row r="140" spans="1:11" x14ac:dyDescent="0.3">
      <c r="A140">
        <v>2021</v>
      </c>
      <c r="B140" t="s">
        <v>324</v>
      </c>
      <c r="C140" t="s">
        <v>325</v>
      </c>
      <c r="D140">
        <v>930000047</v>
      </c>
      <c r="E140" t="s">
        <v>479</v>
      </c>
      <c r="F140" t="s">
        <v>428</v>
      </c>
      <c r="G140" t="s">
        <v>331</v>
      </c>
      <c r="H140" t="s">
        <v>339</v>
      </c>
      <c r="I140">
        <v>7</v>
      </c>
      <c r="J140" s="9">
        <v>4.51</v>
      </c>
      <c r="K140" t="s">
        <v>328</v>
      </c>
    </row>
    <row r="141" spans="1:11" x14ac:dyDescent="0.3">
      <c r="A141">
        <v>2021</v>
      </c>
      <c r="B141" t="s">
        <v>324</v>
      </c>
      <c r="C141" t="s">
        <v>325</v>
      </c>
      <c r="D141">
        <v>930000085</v>
      </c>
      <c r="E141" t="s">
        <v>480</v>
      </c>
      <c r="F141" t="s">
        <v>428</v>
      </c>
      <c r="G141" t="s">
        <v>331</v>
      </c>
      <c r="H141" t="s">
        <v>332</v>
      </c>
      <c r="I141">
        <v>0</v>
      </c>
      <c r="J141" s="9">
        <v>1.4</v>
      </c>
      <c r="K141" t="s">
        <v>328</v>
      </c>
    </row>
    <row r="142" spans="1:11" x14ac:dyDescent="0.3">
      <c r="A142">
        <v>2021</v>
      </c>
      <c r="B142" t="s">
        <v>324</v>
      </c>
      <c r="C142" t="s">
        <v>325</v>
      </c>
      <c r="D142">
        <v>60000035</v>
      </c>
      <c r="E142" t="s">
        <v>481</v>
      </c>
      <c r="F142" t="s">
        <v>428</v>
      </c>
      <c r="G142" t="s">
        <v>331</v>
      </c>
      <c r="H142" t="s">
        <v>339</v>
      </c>
      <c r="I142">
        <v>0</v>
      </c>
      <c r="J142" s="9">
        <v>1.78</v>
      </c>
      <c r="K142" t="s">
        <v>328</v>
      </c>
    </row>
    <row r="143" spans="1:11" x14ac:dyDescent="0.3">
      <c r="A143">
        <v>2021</v>
      </c>
      <c r="B143" t="s">
        <v>324</v>
      </c>
      <c r="C143" t="s">
        <v>325</v>
      </c>
      <c r="D143">
        <v>930000092</v>
      </c>
      <c r="E143" t="s">
        <v>482</v>
      </c>
      <c r="F143" t="s">
        <v>428</v>
      </c>
      <c r="G143" t="s">
        <v>331</v>
      </c>
      <c r="H143" t="s">
        <v>332</v>
      </c>
      <c r="I143">
        <v>5</v>
      </c>
      <c r="J143" s="9">
        <v>2.44</v>
      </c>
      <c r="K143" t="s">
        <v>328</v>
      </c>
    </row>
    <row r="144" spans="1:11" x14ac:dyDescent="0.3">
      <c r="A144">
        <v>2021</v>
      </c>
      <c r="B144" t="s">
        <v>324</v>
      </c>
      <c r="C144" t="s">
        <v>325</v>
      </c>
      <c r="D144">
        <v>930000095</v>
      </c>
      <c r="E144" t="s">
        <v>483</v>
      </c>
      <c r="F144" t="s">
        <v>428</v>
      </c>
      <c r="G144" t="s">
        <v>331</v>
      </c>
      <c r="H144" t="s">
        <v>334</v>
      </c>
      <c r="I144">
        <v>19</v>
      </c>
      <c r="J144" s="9">
        <v>19.43</v>
      </c>
      <c r="K144" t="s">
        <v>328</v>
      </c>
    </row>
    <row r="145" spans="1:11" x14ac:dyDescent="0.3">
      <c r="A145">
        <v>2021</v>
      </c>
      <c r="B145" t="s">
        <v>324</v>
      </c>
      <c r="C145" t="s">
        <v>325</v>
      </c>
      <c r="D145">
        <v>930000095</v>
      </c>
      <c r="E145" t="s">
        <v>483</v>
      </c>
      <c r="F145" t="s">
        <v>428</v>
      </c>
      <c r="G145" t="s">
        <v>335</v>
      </c>
      <c r="H145" t="s">
        <v>336</v>
      </c>
      <c r="I145">
        <v>0</v>
      </c>
      <c r="J145" s="9">
        <v>0.14000000000000001</v>
      </c>
    </row>
    <row r="146" spans="1:11" x14ac:dyDescent="0.3">
      <c r="A146">
        <v>2021</v>
      </c>
      <c r="B146" t="s">
        <v>324</v>
      </c>
      <c r="C146" t="s">
        <v>325</v>
      </c>
      <c r="D146">
        <v>930001709</v>
      </c>
      <c r="E146" t="s">
        <v>484</v>
      </c>
      <c r="F146" t="s">
        <v>428</v>
      </c>
      <c r="G146" t="s">
        <v>331</v>
      </c>
      <c r="H146" t="s">
        <v>351</v>
      </c>
      <c r="I146">
        <v>12</v>
      </c>
      <c r="J146" s="9">
        <v>15.76</v>
      </c>
      <c r="K146" t="s">
        <v>328</v>
      </c>
    </row>
    <row r="147" spans="1:11" x14ac:dyDescent="0.3">
      <c r="A147">
        <v>2021</v>
      </c>
      <c r="B147" t="s">
        <v>324</v>
      </c>
      <c r="C147" t="s">
        <v>325</v>
      </c>
      <c r="D147">
        <v>930000096</v>
      </c>
      <c r="E147" t="s">
        <v>485</v>
      </c>
      <c r="F147" t="s">
        <v>428</v>
      </c>
      <c r="G147" t="s">
        <v>331</v>
      </c>
      <c r="H147" t="s">
        <v>353</v>
      </c>
      <c r="I147">
        <v>9</v>
      </c>
      <c r="J147" s="9">
        <v>6.63</v>
      </c>
      <c r="K147" t="s">
        <v>328</v>
      </c>
    </row>
    <row r="148" spans="1:11" x14ac:dyDescent="0.3">
      <c r="A148">
        <v>2021</v>
      </c>
      <c r="B148" t="s">
        <v>324</v>
      </c>
      <c r="C148" t="s">
        <v>325</v>
      </c>
      <c r="D148">
        <v>930000096</v>
      </c>
      <c r="E148" t="s">
        <v>485</v>
      </c>
      <c r="F148" t="s">
        <v>428</v>
      </c>
      <c r="G148" t="s">
        <v>335</v>
      </c>
      <c r="H148" t="s">
        <v>336</v>
      </c>
      <c r="I148">
        <v>0</v>
      </c>
      <c r="J148" s="9">
        <v>0.3</v>
      </c>
      <c r="K148" t="s">
        <v>328</v>
      </c>
    </row>
    <row r="149" spans="1:11" x14ac:dyDescent="0.3">
      <c r="A149">
        <v>2021</v>
      </c>
      <c r="B149" t="s">
        <v>324</v>
      </c>
      <c r="C149" t="s">
        <v>325</v>
      </c>
      <c r="D149">
        <v>930000027</v>
      </c>
      <c r="E149" t="s">
        <v>486</v>
      </c>
      <c r="F149" t="s">
        <v>428</v>
      </c>
      <c r="G149" t="s">
        <v>331</v>
      </c>
      <c r="H149" t="s">
        <v>339</v>
      </c>
      <c r="I149">
        <v>3</v>
      </c>
      <c r="J149" s="9">
        <v>4.8099999999999996</v>
      </c>
      <c r="K149" t="s">
        <v>328</v>
      </c>
    </row>
    <row r="150" spans="1:11" x14ac:dyDescent="0.3">
      <c r="A150">
        <v>2021</v>
      </c>
      <c r="B150" t="s">
        <v>324</v>
      </c>
      <c r="C150" t="s">
        <v>325</v>
      </c>
      <c r="D150">
        <v>930000107</v>
      </c>
      <c r="E150" t="s">
        <v>487</v>
      </c>
      <c r="F150" t="s">
        <v>428</v>
      </c>
      <c r="G150" t="s">
        <v>345</v>
      </c>
      <c r="H150" t="s">
        <v>346</v>
      </c>
      <c r="I150">
        <v>3</v>
      </c>
      <c r="J150" s="9">
        <v>4.29</v>
      </c>
      <c r="K150" t="s">
        <v>328</v>
      </c>
    </row>
    <row r="151" spans="1:11" x14ac:dyDescent="0.3">
      <c r="A151">
        <v>2021</v>
      </c>
      <c r="B151" t="s">
        <v>324</v>
      </c>
      <c r="C151" t="s">
        <v>325</v>
      </c>
      <c r="D151">
        <v>930000108</v>
      </c>
      <c r="E151" t="s">
        <v>488</v>
      </c>
      <c r="F151" t="s">
        <v>428</v>
      </c>
      <c r="G151" t="s">
        <v>331</v>
      </c>
      <c r="H151" t="s">
        <v>332</v>
      </c>
      <c r="I151">
        <v>5</v>
      </c>
      <c r="J151" s="9">
        <v>2.08</v>
      </c>
      <c r="K151" t="s">
        <v>328</v>
      </c>
    </row>
    <row r="152" spans="1:11" x14ac:dyDescent="0.3">
      <c r="A152">
        <v>2021</v>
      </c>
      <c r="B152" t="s">
        <v>324</v>
      </c>
      <c r="C152" t="s">
        <v>325</v>
      </c>
      <c r="D152">
        <v>930000111</v>
      </c>
      <c r="E152" t="s">
        <v>489</v>
      </c>
      <c r="F152" t="s">
        <v>428</v>
      </c>
      <c r="G152" t="s">
        <v>331</v>
      </c>
      <c r="H152" t="s">
        <v>334</v>
      </c>
      <c r="I152">
        <v>4</v>
      </c>
      <c r="J152" s="9">
        <v>10.95</v>
      </c>
      <c r="K152" t="s">
        <v>326</v>
      </c>
    </row>
    <row r="153" spans="1:11" x14ac:dyDescent="0.3">
      <c r="A153">
        <v>2021</v>
      </c>
      <c r="B153" t="s">
        <v>324</v>
      </c>
      <c r="C153" t="s">
        <v>325</v>
      </c>
      <c r="D153">
        <v>930000111</v>
      </c>
      <c r="E153" t="s">
        <v>489</v>
      </c>
      <c r="F153" t="s">
        <v>428</v>
      </c>
      <c r="G153" t="s">
        <v>335</v>
      </c>
      <c r="H153" t="s">
        <v>336</v>
      </c>
      <c r="I153">
        <v>0</v>
      </c>
      <c r="J153" s="9">
        <v>0.19</v>
      </c>
    </row>
    <row r="154" spans="1:11" x14ac:dyDescent="0.3">
      <c r="A154">
        <v>2021</v>
      </c>
      <c r="B154" t="s">
        <v>324</v>
      </c>
      <c r="C154" t="s">
        <v>325</v>
      </c>
      <c r="D154">
        <v>930000112</v>
      </c>
      <c r="E154" t="s">
        <v>490</v>
      </c>
      <c r="F154" t="s">
        <v>428</v>
      </c>
      <c r="G154" t="s">
        <v>331</v>
      </c>
      <c r="H154" t="s">
        <v>332</v>
      </c>
      <c r="I154">
        <v>0</v>
      </c>
      <c r="J154" s="9">
        <v>0.71</v>
      </c>
      <c r="K154" t="s">
        <v>328</v>
      </c>
    </row>
    <row r="155" spans="1:11" x14ac:dyDescent="0.3">
      <c r="A155">
        <v>2021</v>
      </c>
      <c r="B155" t="s">
        <v>324</v>
      </c>
      <c r="C155" t="s">
        <v>325</v>
      </c>
      <c r="D155">
        <v>930000105</v>
      </c>
      <c r="E155" t="s">
        <v>491</v>
      </c>
      <c r="F155" t="s">
        <v>428</v>
      </c>
      <c r="G155" t="s">
        <v>331</v>
      </c>
      <c r="H155" t="s">
        <v>339</v>
      </c>
      <c r="I155">
        <v>4</v>
      </c>
      <c r="J155" s="9">
        <v>0.48</v>
      </c>
      <c r="K155" t="s">
        <v>327</v>
      </c>
    </row>
    <row r="156" spans="1:11" x14ac:dyDescent="0.3">
      <c r="A156">
        <v>2021</v>
      </c>
      <c r="B156" t="s">
        <v>324</v>
      </c>
      <c r="C156" t="s">
        <v>325</v>
      </c>
      <c r="D156">
        <v>930000052</v>
      </c>
      <c r="E156" t="s">
        <v>492</v>
      </c>
      <c r="F156" t="s">
        <v>428</v>
      </c>
      <c r="G156" t="s">
        <v>331</v>
      </c>
      <c r="H156" t="s">
        <v>334</v>
      </c>
      <c r="I156">
        <v>3</v>
      </c>
      <c r="J156" s="9">
        <v>4</v>
      </c>
      <c r="K156" t="s">
        <v>328</v>
      </c>
    </row>
    <row r="157" spans="1:11" x14ac:dyDescent="0.3">
      <c r="A157">
        <v>2021</v>
      </c>
      <c r="B157" t="s">
        <v>324</v>
      </c>
      <c r="C157" t="s">
        <v>325</v>
      </c>
      <c r="D157">
        <v>930000099</v>
      </c>
      <c r="E157" t="s">
        <v>493</v>
      </c>
      <c r="F157" t="s">
        <v>428</v>
      </c>
      <c r="G157" t="s">
        <v>331</v>
      </c>
      <c r="H157" t="s">
        <v>334</v>
      </c>
      <c r="I157">
        <v>6</v>
      </c>
      <c r="J157" s="9">
        <v>15.28</v>
      </c>
      <c r="K157" t="s">
        <v>326</v>
      </c>
    </row>
    <row r="158" spans="1:11" x14ac:dyDescent="0.3">
      <c r="A158">
        <v>2021</v>
      </c>
      <c r="B158" t="s">
        <v>324</v>
      </c>
      <c r="C158" t="s">
        <v>325</v>
      </c>
      <c r="D158">
        <v>930000099</v>
      </c>
      <c r="E158" t="s">
        <v>493</v>
      </c>
      <c r="F158" t="s">
        <v>428</v>
      </c>
      <c r="G158" t="s">
        <v>335</v>
      </c>
      <c r="H158" t="s">
        <v>336</v>
      </c>
      <c r="I158">
        <v>0</v>
      </c>
      <c r="J158" s="9">
        <v>0.42</v>
      </c>
      <c r="K158" t="s">
        <v>328</v>
      </c>
    </row>
    <row r="159" spans="1:11" x14ac:dyDescent="0.3">
      <c r="A159">
        <v>2021</v>
      </c>
      <c r="B159" t="s">
        <v>324</v>
      </c>
      <c r="C159" t="s">
        <v>325</v>
      </c>
      <c r="D159">
        <v>930000032</v>
      </c>
      <c r="E159" t="s">
        <v>494</v>
      </c>
      <c r="F159" t="s">
        <v>428</v>
      </c>
      <c r="G159" t="s">
        <v>331</v>
      </c>
      <c r="H159" t="s">
        <v>332</v>
      </c>
      <c r="I159">
        <v>0</v>
      </c>
      <c r="J159" s="9">
        <v>0.06</v>
      </c>
    </row>
    <row r="160" spans="1:11" x14ac:dyDescent="0.3">
      <c r="A160">
        <v>2021</v>
      </c>
      <c r="B160" t="s">
        <v>324</v>
      </c>
      <c r="C160" t="s">
        <v>325</v>
      </c>
      <c r="D160">
        <v>930000133</v>
      </c>
      <c r="E160" t="s">
        <v>495</v>
      </c>
      <c r="F160" t="s">
        <v>428</v>
      </c>
      <c r="G160" t="s">
        <v>331</v>
      </c>
      <c r="H160" t="s">
        <v>332</v>
      </c>
      <c r="I160">
        <v>5</v>
      </c>
      <c r="J160" s="9">
        <v>1.19</v>
      </c>
      <c r="K160" t="s">
        <v>327</v>
      </c>
    </row>
    <row r="161" spans="1:11" x14ac:dyDescent="0.3">
      <c r="A161">
        <v>2021</v>
      </c>
      <c r="B161" t="s">
        <v>324</v>
      </c>
      <c r="C161" t="s">
        <v>325</v>
      </c>
      <c r="D161">
        <v>930000077</v>
      </c>
      <c r="E161" t="s">
        <v>496</v>
      </c>
      <c r="F161" t="s">
        <v>428</v>
      </c>
      <c r="G161" t="s">
        <v>331</v>
      </c>
      <c r="H161" t="s">
        <v>334</v>
      </c>
      <c r="I161">
        <v>0</v>
      </c>
      <c r="J161" s="9">
        <v>2.48</v>
      </c>
      <c r="K161" t="s">
        <v>328</v>
      </c>
    </row>
    <row r="162" spans="1:11" x14ac:dyDescent="0.3">
      <c r="A162">
        <v>2021</v>
      </c>
      <c r="B162" t="s">
        <v>324</v>
      </c>
      <c r="C162" t="s">
        <v>325</v>
      </c>
      <c r="D162">
        <v>930000077</v>
      </c>
      <c r="E162" t="s">
        <v>496</v>
      </c>
      <c r="F162" t="s">
        <v>428</v>
      </c>
      <c r="G162" t="s">
        <v>335</v>
      </c>
      <c r="H162" t="s">
        <v>336</v>
      </c>
      <c r="I162">
        <v>0</v>
      </c>
      <c r="J162" s="9">
        <v>0.05</v>
      </c>
    </row>
    <row r="163" spans="1:11" x14ac:dyDescent="0.3">
      <c r="A163">
        <v>2021</v>
      </c>
      <c r="B163" t="s">
        <v>324</v>
      </c>
      <c r="C163" t="s">
        <v>325</v>
      </c>
      <c r="D163">
        <v>930000123</v>
      </c>
      <c r="E163" t="s">
        <v>497</v>
      </c>
      <c r="F163" t="s">
        <v>428</v>
      </c>
      <c r="G163" t="s">
        <v>331</v>
      </c>
      <c r="H163" t="s">
        <v>334</v>
      </c>
      <c r="I163">
        <v>24</v>
      </c>
      <c r="J163" s="9">
        <v>14.96</v>
      </c>
      <c r="K163" t="s">
        <v>327</v>
      </c>
    </row>
    <row r="164" spans="1:11" x14ac:dyDescent="0.3">
      <c r="A164">
        <v>2021</v>
      </c>
      <c r="B164" t="s">
        <v>324</v>
      </c>
      <c r="C164" t="s">
        <v>325</v>
      </c>
      <c r="D164">
        <v>930000091</v>
      </c>
      <c r="E164" t="s">
        <v>498</v>
      </c>
      <c r="F164" t="s">
        <v>428</v>
      </c>
      <c r="G164" t="s">
        <v>331</v>
      </c>
      <c r="H164" t="s">
        <v>339</v>
      </c>
      <c r="I164">
        <v>5</v>
      </c>
      <c r="J164" s="9">
        <v>7.25</v>
      </c>
      <c r="K164" t="s">
        <v>328</v>
      </c>
    </row>
    <row r="165" spans="1:11" x14ac:dyDescent="0.3">
      <c r="A165">
        <v>2021</v>
      </c>
      <c r="B165" t="s">
        <v>324</v>
      </c>
      <c r="C165" t="s">
        <v>325</v>
      </c>
      <c r="D165">
        <v>930000066</v>
      </c>
      <c r="E165" t="s">
        <v>499</v>
      </c>
      <c r="F165" t="s">
        <v>428</v>
      </c>
      <c r="G165" t="s">
        <v>331</v>
      </c>
      <c r="H165" t="s">
        <v>353</v>
      </c>
      <c r="I165">
        <v>6</v>
      </c>
      <c r="J165" s="9">
        <v>10.69</v>
      </c>
      <c r="K165" t="s">
        <v>328</v>
      </c>
    </row>
    <row r="166" spans="1:11" x14ac:dyDescent="0.3">
      <c r="A166">
        <v>2021</v>
      </c>
      <c r="B166" t="s">
        <v>324</v>
      </c>
      <c r="C166" t="s">
        <v>325</v>
      </c>
      <c r="D166">
        <v>930000066</v>
      </c>
      <c r="E166" t="s">
        <v>499</v>
      </c>
      <c r="F166" t="s">
        <v>428</v>
      </c>
      <c r="G166" t="s">
        <v>335</v>
      </c>
      <c r="H166" t="s">
        <v>336</v>
      </c>
      <c r="I166">
        <v>0</v>
      </c>
      <c r="J166" s="9">
        <v>0.09</v>
      </c>
    </row>
    <row r="167" spans="1:11" x14ac:dyDescent="0.3">
      <c r="A167">
        <v>2021</v>
      </c>
      <c r="B167" t="s">
        <v>324</v>
      </c>
      <c r="C167" t="s">
        <v>325</v>
      </c>
      <c r="D167">
        <v>930000157</v>
      </c>
      <c r="E167" t="s">
        <v>500</v>
      </c>
      <c r="F167" t="s">
        <v>428</v>
      </c>
      <c r="G167" t="s">
        <v>331</v>
      </c>
      <c r="H167" t="s">
        <v>353</v>
      </c>
      <c r="I167">
        <v>1</v>
      </c>
      <c r="J167" s="9">
        <v>1.66</v>
      </c>
      <c r="K167" t="s">
        <v>328</v>
      </c>
    </row>
    <row r="168" spans="1:11" x14ac:dyDescent="0.3">
      <c r="A168">
        <v>2021</v>
      </c>
      <c r="B168" t="s">
        <v>324</v>
      </c>
      <c r="C168" t="s">
        <v>325</v>
      </c>
      <c r="D168">
        <v>930000157</v>
      </c>
      <c r="E168" t="s">
        <v>500</v>
      </c>
      <c r="F168" t="s">
        <v>428</v>
      </c>
      <c r="G168" t="s">
        <v>335</v>
      </c>
      <c r="H168" t="s">
        <v>336</v>
      </c>
      <c r="I168">
        <v>0</v>
      </c>
      <c r="J168" s="9">
        <v>0.26</v>
      </c>
      <c r="K168" t="s">
        <v>328</v>
      </c>
    </row>
    <row r="169" spans="1:11" x14ac:dyDescent="0.3">
      <c r="A169">
        <v>2021</v>
      </c>
      <c r="B169" t="s">
        <v>324</v>
      </c>
      <c r="C169" t="s">
        <v>325</v>
      </c>
      <c r="D169">
        <v>930000081</v>
      </c>
      <c r="E169" t="s">
        <v>501</v>
      </c>
      <c r="F169" t="s">
        <v>428</v>
      </c>
      <c r="G169" t="s">
        <v>331</v>
      </c>
      <c r="H169" t="s">
        <v>353</v>
      </c>
      <c r="I169">
        <v>12</v>
      </c>
      <c r="J169" s="9">
        <v>7.96</v>
      </c>
      <c r="K169" t="s">
        <v>328</v>
      </c>
    </row>
    <row r="170" spans="1:11" x14ac:dyDescent="0.3">
      <c r="A170">
        <v>2021</v>
      </c>
      <c r="B170" t="s">
        <v>324</v>
      </c>
      <c r="C170" t="s">
        <v>325</v>
      </c>
      <c r="D170">
        <v>930000100</v>
      </c>
      <c r="E170" t="s">
        <v>502</v>
      </c>
      <c r="F170" t="s">
        <v>428</v>
      </c>
      <c r="G170" t="s">
        <v>331</v>
      </c>
      <c r="H170" t="s">
        <v>353</v>
      </c>
      <c r="I170">
        <v>4</v>
      </c>
      <c r="J170" s="9">
        <v>7.31</v>
      </c>
      <c r="K170" t="s">
        <v>328</v>
      </c>
    </row>
    <row r="171" spans="1:11" x14ac:dyDescent="0.3">
      <c r="A171">
        <v>2021</v>
      </c>
      <c r="B171" t="s">
        <v>324</v>
      </c>
      <c r="C171" t="s">
        <v>325</v>
      </c>
      <c r="D171">
        <v>930000101</v>
      </c>
      <c r="E171" t="s">
        <v>503</v>
      </c>
      <c r="F171" t="s">
        <v>428</v>
      </c>
      <c r="G171" t="s">
        <v>331</v>
      </c>
      <c r="H171" t="s">
        <v>353</v>
      </c>
      <c r="I171">
        <v>18</v>
      </c>
      <c r="J171" s="9">
        <v>13.5</v>
      </c>
      <c r="K171" t="s">
        <v>328</v>
      </c>
    </row>
    <row r="172" spans="1:11" x14ac:dyDescent="0.3">
      <c r="A172">
        <v>2021</v>
      </c>
      <c r="B172" t="s">
        <v>324</v>
      </c>
      <c r="C172" t="s">
        <v>325</v>
      </c>
      <c r="D172">
        <v>930000101</v>
      </c>
      <c r="E172" t="s">
        <v>503</v>
      </c>
      <c r="F172" t="s">
        <v>428</v>
      </c>
      <c r="G172" t="s">
        <v>335</v>
      </c>
      <c r="H172" t="s">
        <v>336</v>
      </c>
      <c r="I172">
        <v>0</v>
      </c>
      <c r="J172" s="9">
        <v>0</v>
      </c>
    </row>
    <row r="173" spans="1:11" x14ac:dyDescent="0.3">
      <c r="A173">
        <v>2021</v>
      </c>
      <c r="B173" t="s">
        <v>324</v>
      </c>
      <c r="C173" t="s">
        <v>325</v>
      </c>
      <c r="D173">
        <v>930000162</v>
      </c>
      <c r="E173" t="s">
        <v>504</v>
      </c>
      <c r="F173" t="s">
        <v>428</v>
      </c>
      <c r="G173" t="s">
        <v>331</v>
      </c>
      <c r="H173" t="s">
        <v>334</v>
      </c>
      <c r="I173">
        <v>38</v>
      </c>
      <c r="J173" s="9">
        <v>76.89</v>
      </c>
      <c r="K173" t="s">
        <v>326</v>
      </c>
    </row>
    <row r="174" spans="1:11" x14ac:dyDescent="0.3">
      <c r="A174">
        <v>2021</v>
      </c>
      <c r="B174" t="s">
        <v>324</v>
      </c>
      <c r="C174" t="s">
        <v>325</v>
      </c>
      <c r="D174">
        <v>930000125</v>
      </c>
      <c r="E174" t="s">
        <v>505</v>
      </c>
      <c r="F174" t="s">
        <v>428</v>
      </c>
      <c r="G174" t="s">
        <v>331</v>
      </c>
      <c r="H174" t="s">
        <v>332</v>
      </c>
      <c r="I174">
        <v>1</v>
      </c>
      <c r="J174" s="9">
        <v>2.59</v>
      </c>
      <c r="K174" t="s">
        <v>328</v>
      </c>
    </row>
    <row r="175" spans="1:11" x14ac:dyDescent="0.3">
      <c r="A175">
        <v>2021</v>
      </c>
      <c r="B175" t="s">
        <v>324</v>
      </c>
      <c r="C175" t="s">
        <v>325</v>
      </c>
      <c r="D175">
        <v>930000041</v>
      </c>
      <c r="E175" t="s">
        <v>506</v>
      </c>
      <c r="F175" t="s">
        <v>428</v>
      </c>
      <c r="G175" t="s">
        <v>331</v>
      </c>
      <c r="H175" t="s">
        <v>339</v>
      </c>
      <c r="I175">
        <v>4</v>
      </c>
      <c r="J175" s="9">
        <v>2.88</v>
      </c>
      <c r="K175" t="s">
        <v>328</v>
      </c>
    </row>
    <row r="176" spans="1:11" x14ac:dyDescent="0.3">
      <c r="A176">
        <v>2021</v>
      </c>
      <c r="B176" t="s">
        <v>324</v>
      </c>
      <c r="C176" t="s">
        <v>325</v>
      </c>
      <c r="D176">
        <v>930000049</v>
      </c>
      <c r="E176" t="s">
        <v>507</v>
      </c>
      <c r="F176" t="s">
        <v>428</v>
      </c>
      <c r="G176" t="s">
        <v>331</v>
      </c>
      <c r="H176" t="s">
        <v>334</v>
      </c>
      <c r="I176">
        <v>17</v>
      </c>
      <c r="J176" s="9">
        <v>19.71</v>
      </c>
      <c r="K176" t="s">
        <v>328</v>
      </c>
    </row>
    <row r="177" spans="1:11" x14ac:dyDescent="0.3">
      <c r="A177">
        <v>2021</v>
      </c>
      <c r="B177" t="s">
        <v>324</v>
      </c>
      <c r="C177" t="s">
        <v>325</v>
      </c>
      <c r="D177">
        <v>930000140</v>
      </c>
      <c r="E177" t="s">
        <v>508</v>
      </c>
      <c r="F177" t="s">
        <v>428</v>
      </c>
      <c r="G177" t="s">
        <v>331</v>
      </c>
      <c r="H177" t="s">
        <v>339</v>
      </c>
      <c r="I177">
        <v>0</v>
      </c>
      <c r="J177" s="9">
        <v>1.7</v>
      </c>
      <c r="K177" t="s">
        <v>328</v>
      </c>
    </row>
    <row r="178" spans="1:11" x14ac:dyDescent="0.3">
      <c r="A178">
        <v>2021</v>
      </c>
      <c r="B178" t="s">
        <v>324</v>
      </c>
      <c r="C178" t="s">
        <v>325</v>
      </c>
      <c r="D178">
        <v>930000015</v>
      </c>
      <c r="E178" t="s">
        <v>509</v>
      </c>
      <c r="F178" t="s">
        <v>428</v>
      </c>
      <c r="G178" t="s">
        <v>331</v>
      </c>
      <c r="H178" t="s">
        <v>353</v>
      </c>
      <c r="I178">
        <v>1</v>
      </c>
      <c r="J178" s="9">
        <v>3.12</v>
      </c>
      <c r="K178" t="s">
        <v>328</v>
      </c>
    </row>
    <row r="179" spans="1:11" x14ac:dyDescent="0.3">
      <c r="A179">
        <v>2021</v>
      </c>
      <c r="B179" t="s">
        <v>324</v>
      </c>
      <c r="C179" t="s">
        <v>325</v>
      </c>
      <c r="D179">
        <v>930000015</v>
      </c>
      <c r="E179" t="s">
        <v>509</v>
      </c>
      <c r="F179" t="s">
        <v>428</v>
      </c>
      <c r="G179" t="s">
        <v>335</v>
      </c>
      <c r="H179" t="s">
        <v>336</v>
      </c>
      <c r="I179">
        <v>0</v>
      </c>
      <c r="J179" s="9">
        <v>0.16</v>
      </c>
    </row>
    <row r="180" spans="1:11" x14ac:dyDescent="0.3">
      <c r="A180">
        <v>2021</v>
      </c>
      <c r="B180" t="s">
        <v>324</v>
      </c>
      <c r="C180" t="s">
        <v>325</v>
      </c>
      <c r="D180">
        <v>930000064</v>
      </c>
      <c r="E180" t="s">
        <v>510</v>
      </c>
      <c r="F180" t="s">
        <v>428</v>
      </c>
      <c r="G180" t="s">
        <v>331</v>
      </c>
      <c r="H180" t="s">
        <v>332</v>
      </c>
      <c r="I180">
        <v>1</v>
      </c>
      <c r="J180" s="9">
        <v>0.98</v>
      </c>
      <c r="K180" t="s">
        <v>328</v>
      </c>
    </row>
    <row r="181" spans="1:11" x14ac:dyDescent="0.3">
      <c r="A181">
        <v>2021</v>
      </c>
      <c r="B181" t="s">
        <v>324</v>
      </c>
      <c r="C181" t="s">
        <v>325</v>
      </c>
      <c r="D181">
        <v>930000128</v>
      </c>
      <c r="E181" t="s">
        <v>511</v>
      </c>
      <c r="F181" t="s">
        <v>428</v>
      </c>
      <c r="G181" t="s">
        <v>331</v>
      </c>
      <c r="H181" t="s">
        <v>353</v>
      </c>
      <c r="I181">
        <v>10</v>
      </c>
      <c r="J181" s="9">
        <v>7.91</v>
      </c>
      <c r="K181" t="s">
        <v>328</v>
      </c>
    </row>
    <row r="182" spans="1:11" x14ac:dyDescent="0.3">
      <c r="A182">
        <v>2021</v>
      </c>
      <c r="B182" t="s">
        <v>324</v>
      </c>
      <c r="C182" t="s">
        <v>325</v>
      </c>
      <c r="D182">
        <v>930000103</v>
      </c>
      <c r="E182" t="s">
        <v>512</v>
      </c>
      <c r="F182" t="s">
        <v>428</v>
      </c>
      <c r="G182" t="s">
        <v>331</v>
      </c>
      <c r="H182" t="s">
        <v>353</v>
      </c>
      <c r="I182">
        <v>0</v>
      </c>
      <c r="J182" s="9">
        <v>7.39</v>
      </c>
      <c r="K182" t="s">
        <v>326</v>
      </c>
    </row>
    <row r="183" spans="1:11" x14ac:dyDescent="0.3">
      <c r="A183">
        <v>2021</v>
      </c>
      <c r="B183" t="s">
        <v>324</v>
      </c>
      <c r="C183" t="s">
        <v>325</v>
      </c>
      <c r="D183">
        <v>930000103</v>
      </c>
      <c r="E183" t="s">
        <v>512</v>
      </c>
      <c r="F183" t="s">
        <v>428</v>
      </c>
      <c r="G183" t="s">
        <v>335</v>
      </c>
      <c r="H183" t="s">
        <v>336</v>
      </c>
      <c r="I183">
        <v>1</v>
      </c>
      <c r="J183" s="9">
        <v>0.14000000000000001</v>
      </c>
    </row>
    <row r="184" spans="1:11" x14ac:dyDescent="0.3">
      <c r="A184">
        <v>2021</v>
      </c>
      <c r="B184" t="s">
        <v>324</v>
      </c>
      <c r="C184" t="s">
        <v>325</v>
      </c>
      <c r="D184">
        <v>930000127</v>
      </c>
      <c r="E184" t="s">
        <v>513</v>
      </c>
      <c r="F184" t="s">
        <v>428</v>
      </c>
      <c r="G184" t="s">
        <v>331</v>
      </c>
      <c r="H184" t="s">
        <v>353</v>
      </c>
      <c r="I184">
        <v>4</v>
      </c>
      <c r="J184" s="9">
        <v>23.99</v>
      </c>
      <c r="K184" t="s">
        <v>326</v>
      </c>
    </row>
    <row r="185" spans="1:11" x14ac:dyDescent="0.3">
      <c r="A185">
        <v>2021</v>
      </c>
      <c r="B185" t="s">
        <v>324</v>
      </c>
      <c r="C185" t="s">
        <v>325</v>
      </c>
      <c r="D185">
        <v>930000163</v>
      </c>
      <c r="E185" t="s">
        <v>514</v>
      </c>
      <c r="F185" t="s">
        <v>428</v>
      </c>
      <c r="G185" t="s">
        <v>331</v>
      </c>
      <c r="H185" t="s">
        <v>334</v>
      </c>
      <c r="I185">
        <v>8</v>
      </c>
      <c r="J185" s="9">
        <v>7.07</v>
      </c>
      <c r="K185" t="s">
        <v>328</v>
      </c>
    </row>
    <row r="186" spans="1:11" x14ac:dyDescent="0.3">
      <c r="A186">
        <v>2021</v>
      </c>
      <c r="B186" t="s">
        <v>324</v>
      </c>
      <c r="C186" t="s">
        <v>325</v>
      </c>
      <c r="D186">
        <v>930000187</v>
      </c>
      <c r="E186" t="s">
        <v>515</v>
      </c>
      <c r="F186" t="s">
        <v>428</v>
      </c>
      <c r="G186" t="s">
        <v>331</v>
      </c>
      <c r="H186" t="s">
        <v>334</v>
      </c>
      <c r="I186">
        <v>1</v>
      </c>
      <c r="J186" s="9">
        <v>3.28</v>
      </c>
      <c r="K186" t="s">
        <v>328</v>
      </c>
    </row>
    <row r="187" spans="1:11" x14ac:dyDescent="0.3">
      <c r="A187">
        <v>2021</v>
      </c>
      <c r="B187" t="s">
        <v>324</v>
      </c>
      <c r="C187" t="s">
        <v>325</v>
      </c>
      <c r="D187">
        <v>930000129</v>
      </c>
      <c r="E187" t="s">
        <v>516</v>
      </c>
      <c r="F187" t="s">
        <v>428</v>
      </c>
      <c r="G187" t="s">
        <v>331</v>
      </c>
      <c r="H187" t="s">
        <v>353</v>
      </c>
      <c r="I187">
        <v>16</v>
      </c>
      <c r="J187" s="9">
        <v>8.1199999999999992</v>
      </c>
      <c r="K187" t="s">
        <v>327</v>
      </c>
    </row>
    <row r="188" spans="1:11" x14ac:dyDescent="0.3">
      <c r="A188">
        <v>2021</v>
      </c>
      <c r="B188" t="s">
        <v>324</v>
      </c>
      <c r="C188" t="s">
        <v>325</v>
      </c>
      <c r="D188">
        <v>930000129</v>
      </c>
      <c r="E188" t="s">
        <v>516</v>
      </c>
      <c r="F188" t="s">
        <v>428</v>
      </c>
      <c r="G188" t="s">
        <v>335</v>
      </c>
      <c r="H188" t="s">
        <v>336</v>
      </c>
      <c r="I188">
        <v>0</v>
      </c>
      <c r="J188" s="9">
        <v>0.1</v>
      </c>
    </row>
    <row r="189" spans="1:11" x14ac:dyDescent="0.3">
      <c r="A189">
        <v>2021</v>
      </c>
      <c r="B189" t="s">
        <v>324</v>
      </c>
      <c r="C189" t="s">
        <v>325</v>
      </c>
      <c r="D189">
        <v>930000188</v>
      </c>
      <c r="E189" t="s">
        <v>517</v>
      </c>
      <c r="F189" t="s">
        <v>428</v>
      </c>
      <c r="G189" t="s">
        <v>331</v>
      </c>
      <c r="H189" t="s">
        <v>332</v>
      </c>
      <c r="I189">
        <v>0</v>
      </c>
      <c r="J189" s="9">
        <v>0.02</v>
      </c>
    </row>
    <row r="190" spans="1:11" x14ac:dyDescent="0.3">
      <c r="A190">
        <v>2021</v>
      </c>
      <c r="B190" t="s">
        <v>324</v>
      </c>
      <c r="C190" t="s">
        <v>325</v>
      </c>
      <c r="D190">
        <v>930000028</v>
      </c>
      <c r="E190" t="s">
        <v>518</v>
      </c>
      <c r="F190" t="s">
        <v>428</v>
      </c>
      <c r="G190" t="s">
        <v>331</v>
      </c>
      <c r="H190" t="s">
        <v>353</v>
      </c>
      <c r="I190">
        <v>13</v>
      </c>
      <c r="J190" s="9">
        <v>7.14</v>
      </c>
      <c r="K190" t="s">
        <v>327</v>
      </c>
    </row>
    <row r="191" spans="1:11" x14ac:dyDescent="0.3">
      <c r="A191">
        <v>2021</v>
      </c>
      <c r="B191" t="s">
        <v>324</v>
      </c>
      <c r="C191" t="s">
        <v>325</v>
      </c>
      <c r="D191">
        <v>930000151</v>
      </c>
      <c r="E191" t="s">
        <v>519</v>
      </c>
      <c r="F191" t="s">
        <v>428</v>
      </c>
      <c r="G191" t="s">
        <v>331</v>
      </c>
      <c r="H191" t="s">
        <v>339</v>
      </c>
      <c r="I191">
        <v>1</v>
      </c>
      <c r="J191" s="9">
        <v>2.3199999999999998</v>
      </c>
      <c r="K191" t="s">
        <v>328</v>
      </c>
    </row>
    <row r="192" spans="1:11" x14ac:dyDescent="0.3">
      <c r="A192">
        <v>2021</v>
      </c>
      <c r="B192" t="s">
        <v>324</v>
      </c>
      <c r="C192" t="s">
        <v>325</v>
      </c>
      <c r="D192">
        <v>40000111</v>
      </c>
      <c r="E192" t="s">
        <v>520</v>
      </c>
      <c r="F192" t="s">
        <v>521</v>
      </c>
      <c r="G192" t="s">
        <v>331</v>
      </c>
      <c r="H192" t="s">
        <v>332</v>
      </c>
      <c r="I192">
        <v>9</v>
      </c>
      <c r="J192" s="9">
        <v>2.87</v>
      </c>
      <c r="K192" t="s">
        <v>327</v>
      </c>
    </row>
    <row r="193" spans="1:11" x14ac:dyDescent="0.3">
      <c r="A193">
        <v>2021</v>
      </c>
      <c r="B193" t="s">
        <v>324</v>
      </c>
      <c r="C193" t="s">
        <v>325</v>
      </c>
      <c r="D193">
        <v>40000129</v>
      </c>
      <c r="E193" t="s">
        <v>522</v>
      </c>
      <c r="F193" t="s">
        <v>521</v>
      </c>
      <c r="G193" t="s">
        <v>331</v>
      </c>
      <c r="H193" t="s">
        <v>351</v>
      </c>
      <c r="I193">
        <v>7</v>
      </c>
      <c r="J193" s="9">
        <v>30.74</v>
      </c>
      <c r="K193" t="s">
        <v>326</v>
      </c>
    </row>
    <row r="194" spans="1:11" x14ac:dyDescent="0.3">
      <c r="A194">
        <v>2021</v>
      </c>
      <c r="B194" t="s">
        <v>324</v>
      </c>
      <c r="C194" t="s">
        <v>325</v>
      </c>
      <c r="D194">
        <v>110000944</v>
      </c>
      <c r="E194" t="s">
        <v>523</v>
      </c>
      <c r="F194" t="s">
        <v>524</v>
      </c>
      <c r="G194" t="s">
        <v>331</v>
      </c>
      <c r="H194" t="s">
        <v>332</v>
      </c>
      <c r="I194">
        <v>0</v>
      </c>
      <c r="J194" s="9">
        <v>2.29</v>
      </c>
      <c r="K194" t="s">
        <v>328</v>
      </c>
    </row>
    <row r="195" spans="1:11" x14ac:dyDescent="0.3">
      <c r="A195">
        <v>2021</v>
      </c>
      <c r="B195" t="s">
        <v>324</v>
      </c>
      <c r="C195" t="s">
        <v>325</v>
      </c>
      <c r="D195">
        <v>110000946</v>
      </c>
      <c r="E195" t="s">
        <v>525</v>
      </c>
      <c r="F195" t="s">
        <v>524</v>
      </c>
      <c r="G195" t="s">
        <v>345</v>
      </c>
      <c r="H195" t="s">
        <v>346</v>
      </c>
      <c r="I195">
        <v>2</v>
      </c>
      <c r="J195" s="9">
        <v>8.25</v>
      </c>
      <c r="K195" t="s">
        <v>326</v>
      </c>
    </row>
    <row r="196" spans="1:11" x14ac:dyDescent="0.3">
      <c r="A196">
        <v>2021</v>
      </c>
      <c r="B196" t="s">
        <v>324</v>
      </c>
      <c r="C196" t="s">
        <v>325</v>
      </c>
      <c r="D196">
        <v>110000953</v>
      </c>
      <c r="E196" t="s">
        <v>526</v>
      </c>
      <c r="F196" t="s">
        <v>524</v>
      </c>
      <c r="G196" t="s">
        <v>331</v>
      </c>
      <c r="H196" t="s">
        <v>339</v>
      </c>
      <c r="I196">
        <v>1</v>
      </c>
      <c r="J196" s="9">
        <v>3.49</v>
      </c>
      <c r="K196" t="s">
        <v>328</v>
      </c>
    </row>
    <row r="197" spans="1:11" x14ac:dyDescent="0.3">
      <c r="A197">
        <v>2021</v>
      </c>
      <c r="B197" t="s">
        <v>324</v>
      </c>
      <c r="C197" t="s">
        <v>325</v>
      </c>
      <c r="D197">
        <v>110000982</v>
      </c>
      <c r="E197" t="s">
        <v>527</v>
      </c>
      <c r="F197" t="s">
        <v>524</v>
      </c>
      <c r="G197" t="s">
        <v>331</v>
      </c>
      <c r="H197" t="s">
        <v>332</v>
      </c>
      <c r="I197">
        <v>0</v>
      </c>
      <c r="J197" s="9">
        <v>0.52</v>
      </c>
      <c r="K197" t="s">
        <v>328</v>
      </c>
    </row>
    <row r="198" spans="1:11" x14ac:dyDescent="0.3">
      <c r="A198">
        <v>2021</v>
      </c>
      <c r="B198" t="s">
        <v>324</v>
      </c>
      <c r="C198" t="s">
        <v>325</v>
      </c>
      <c r="D198">
        <v>40000105</v>
      </c>
      <c r="E198" t="s">
        <v>528</v>
      </c>
      <c r="F198" t="s">
        <v>529</v>
      </c>
      <c r="G198" t="s">
        <v>361</v>
      </c>
      <c r="H198" t="s">
        <v>362</v>
      </c>
      <c r="I198">
        <v>0</v>
      </c>
      <c r="J198" s="9">
        <v>0.03</v>
      </c>
    </row>
    <row r="199" spans="1:11" x14ac:dyDescent="0.3">
      <c r="A199">
        <v>2021</v>
      </c>
      <c r="B199" t="s">
        <v>324</v>
      </c>
      <c r="C199" t="s">
        <v>325</v>
      </c>
      <c r="D199">
        <v>110000008</v>
      </c>
      <c r="E199" t="s">
        <v>530</v>
      </c>
      <c r="F199" t="s">
        <v>531</v>
      </c>
      <c r="G199" t="s">
        <v>361</v>
      </c>
      <c r="H199" t="s">
        <v>362</v>
      </c>
      <c r="I199">
        <v>0</v>
      </c>
      <c r="J199" s="9">
        <v>0.23</v>
      </c>
      <c r="K199" t="s">
        <v>328</v>
      </c>
    </row>
    <row r="200" spans="1:11" x14ac:dyDescent="0.3">
      <c r="A200">
        <v>2021</v>
      </c>
      <c r="B200" t="s">
        <v>324</v>
      </c>
      <c r="C200" t="s">
        <v>325</v>
      </c>
      <c r="D200">
        <v>110000023</v>
      </c>
      <c r="E200" t="s">
        <v>532</v>
      </c>
      <c r="F200" t="s">
        <v>531</v>
      </c>
      <c r="G200" t="s">
        <v>361</v>
      </c>
      <c r="H200" t="s">
        <v>362</v>
      </c>
      <c r="I200">
        <v>0</v>
      </c>
      <c r="J200" s="9">
        <v>0.14000000000000001</v>
      </c>
    </row>
    <row r="201" spans="1:11" x14ac:dyDescent="0.3">
      <c r="A201">
        <v>2021</v>
      </c>
      <c r="B201" t="s">
        <v>324</v>
      </c>
      <c r="C201" t="s">
        <v>325</v>
      </c>
      <c r="D201">
        <v>110000070</v>
      </c>
      <c r="E201" t="s">
        <v>533</v>
      </c>
      <c r="F201" t="s">
        <v>531</v>
      </c>
      <c r="G201" t="s">
        <v>331</v>
      </c>
      <c r="H201" t="s">
        <v>334</v>
      </c>
      <c r="I201">
        <v>3</v>
      </c>
      <c r="J201" s="9">
        <v>1.31</v>
      </c>
      <c r="K201" t="s">
        <v>328</v>
      </c>
    </row>
    <row r="202" spans="1:11" x14ac:dyDescent="0.3">
      <c r="A202">
        <v>2021</v>
      </c>
      <c r="B202" t="s">
        <v>324</v>
      </c>
      <c r="C202" t="s">
        <v>325</v>
      </c>
      <c r="D202">
        <v>40000110</v>
      </c>
      <c r="E202" t="s">
        <v>534</v>
      </c>
      <c r="F202" t="s">
        <v>535</v>
      </c>
      <c r="G202" t="s">
        <v>331</v>
      </c>
      <c r="H202" t="s">
        <v>332</v>
      </c>
      <c r="I202">
        <v>0</v>
      </c>
      <c r="J202" s="9">
        <v>0.76</v>
      </c>
      <c r="K202" t="s">
        <v>328</v>
      </c>
    </row>
    <row r="203" spans="1:11" x14ac:dyDescent="0.3">
      <c r="A203">
        <v>2021</v>
      </c>
      <c r="B203" t="s">
        <v>324</v>
      </c>
      <c r="C203" t="s">
        <v>325</v>
      </c>
      <c r="D203">
        <v>40000113</v>
      </c>
      <c r="E203" t="s">
        <v>536</v>
      </c>
      <c r="F203" t="s">
        <v>535</v>
      </c>
      <c r="G203" t="s">
        <v>331</v>
      </c>
      <c r="H203" t="s">
        <v>334</v>
      </c>
      <c r="I203">
        <v>9</v>
      </c>
      <c r="J203" s="9">
        <v>7.4</v>
      </c>
      <c r="K203" t="s">
        <v>328</v>
      </c>
    </row>
    <row r="204" spans="1:11" x14ac:dyDescent="0.3">
      <c r="A204">
        <v>2021</v>
      </c>
      <c r="B204" t="s">
        <v>324</v>
      </c>
      <c r="C204" t="s">
        <v>325</v>
      </c>
      <c r="D204">
        <v>230000011</v>
      </c>
      <c r="E204" t="s">
        <v>537</v>
      </c>
      <c r="F204" t="s">
        <v>538</v>
      </c>
      <c r="G204" t="s">
        <v>361</v>
      </c>
      <c r="H204" t="s">
        <v>362</v>
      </c>
      <c r="I204">
        <v>0</v>
      </c>
      <c r="J204" s="9">
        <v>0</v>
      </c>
    </row>
    <row r="205" spans="1:11" x14ac:dyDescent="0.3">
      <c r="A205">
        <v>2021</v>
      </c>
      <c r="B205" t="s">
        <v>324</v>
      </c>
      <c r="C205" t="s">
        <v>325</v>
      </c>
      <c r="D205">
        <v>230000021</v>
      </c>
      <c r="E205" t="s">
        <v>539</v>
      </c>
      <c r="F205" t="s">
        <v>538</v>
      </c>
      <c r="G205" t="s">
        <v>361</v>
      </c>
      <c r="H205" t="s">
        <v>362</v>
      </c>
      <c r="I205">
        <v>0</v>
      </c>
      <c r="J205" s="9">
        <v>0</v>
      </c>
    </row>
    <row r="206" spans="1:11" x14ac:dyDescent="0.3">
      <c r="A206">
        <v>2021</v>
      </c>
      <c r="B206" t="s">
        <v>324</v>
      </c>
      <c r="C206" t="s">
        <v>325</v>
      </c>
      <c r="D206">
        <v>240000005</v>
      </c>
      <c r="E206" t="s">
        <v>540</v>
      </c>
      <c r="F206" t="s">
        <v>541</v>
      </c>
      <c r="G206" t="s">
        <v>361</v>
      </c>
      <c r="H206" t="s">
        <v>362</v>
      </c>
      <c r="I206">
        <v>0</v>
      </c>
      <c r="J206" s="9">
        <v>0.02</v>
      </c>
    </row>
    <row r="207" spans="1:11" x14ac:dyDescent="0.3">
      <c r="A207">
        <v>2021</v>
      </c>
      <c r="B207" t="s">
        <v>324</v>
      </c>
      <c r="C207" t="s">
        <v>325</v>
      </c>
      <c r="D207">
        <v>70000137</v>
      </c>
      <c r="E207" t="s">
        <v>542</v>
      </c>
      <c r="F207" t="s">
        <v>543</v>
      </c>
      <c r="G207" t="s">
        <v>331</v>
      </c>
      <c r="H207" t="s">
        <v>353</v>
      </c>
      <c r="I207">
        <v>10</v>
      </c>
      <c r="J207" s="9">
        <v>8.25</v>
      </c>
      <c r="K207" t="s">
        <v>328</v>
      </c>
    </row>
    <row r="208" spans="1:11" x14ac:dyDescent="0.3">
      <c r="A208">
        <v>2021</v>
      </c>
      <c r="B208" t="s">
        <v>324</v>
      </c>
      <c r="C208" t="s">
        <v>325</v>
      </c>
      <c r="D208">
        <v>70000137</v>
      </c>
      <c r="E208" t="s">
        <v>542</v>
      </c>
      <c r="F208" t="s">
        <v>543</v>
      </c>
      <c r="G208" t="s">
        <v>335</v>
      </c>
      <c r="H208" t="s">
        <v>336</v>
      </c>
      <c r="I208">
        <v>0</v>
      </c>
      <c r="J208" s="9">
        <v>0.13</v>
      </c>
    </row>
    <row r="209" spans="1:11" x14ac:dyDescent="0.3">
      <c r="A209">
        <v>2021</v>
      </c>
      <c r="B209" t="s">
        <v>324</v>
      </c>
      <c r="C209" t="s">
        <v>325</v>
      </c>
      <c r="D209">
        <v>70000141</v>
      </c>
      <c r="E209" t="s">
        <v>544</v>
      </c>
      <c r="F209" t="s">
        <v>543</v>
      </c>
      <c r="G209" t="s">
        <v>331</v>
      </c>
      <c r="H209" t="s">
        <v>332</v>
      </c>
      <c r="I209">
        <v>0</v>
      </c>
      <c r="J209" s="9">
        <v>0.08</v>
      </c>
    </row>
    <row r="210" spans="1:11" x14ac:dyDescent="0.3">
      <c r="A210">
        <v>2021</v>
      </c>
      <c r="B210" t="s">
        <v>324</v>
      </c>
      <c r="C210" t="s">
        <v>325</v>
      </c>
      <c r="D210">
        <v>70000145</v>
      </c>
      <c r="E210" t="s">
        <v>545</v>
      </c>
      <c r="F210" t="s">
        <v>543</v>
      </c>
      <c r="G210" t="s">
        <v>331</v>
      </c>
      <c r="H210" t="s">
        <v>334</v>
      </c>
      <c r="I210">
        <v>6</v>
      </c>
      <c r="J210" s="9">
        <v>3.52</v>
      </c>
      <c r="K210" t="s">
        <v>328</v>
      </c>
    </row>
    <row r="211" spans="1:11" x14ac:dyDescent="0.3">
      <c r="A211">
        <v>2021</v>
      </c>
      <c r="B211" t="s">
        <v>324</v>
      </c>
      <c r="C211" t="s">
        <v>325</v>
      </c>
      <c r="D211">
        <v>70000145</v>
      </c>
      <c r="E211" t="s">
        <v>545</v>
      </c>
      <c r="F211" t="s">
        <v>543</v>
      </c>
      <c r="G211" t="s">
        <v>335</v>
      </c>
      <c r="H211" t="s">
        <v>336</v>
      </c>
      <c r="I211">
        <v>0</v>
      </c>
      <c r="J211" s="9">
        <v>0.19</v>
      </c>
    </row>
    <row r="212" spans="1:11" x14ac:dyDescent="0.3">
      <c r="A212">
        <v>2021</v>
      </c>
      <c r="B212" t="s">
        <v>324</v>
      </c>
      <c r="C212" t="s">
        <v>325</v>
      </c>
      <c r="D212">
        <v>70000147</v>
      </c>
      <c r="E212" t="s">
        <v>546</v>
      </c>
      <c r="F212" t="s">
        <v>543</v>
      </c>
      <c r="G212" t="s">
        <v>331</v>
      </c>
      <c r="H212" t="s">
        <v>353</v>
      </c>
      <c r="I212">
        <v>1</v>
      </c>
      <c r="J212" s="9">
        <v>6.97</v>
      </c>
      <c r="K212" t="s">
        <v>326</v>
      </c>
    </row>
    <row r="213" spans="1:11" x14ac:dyDescent="0.3">
      <c r="A213">
        <v>2021</v>
      </c>
      <c r="B213" t="s">
        <v>324</v>
      </c>
      <c r="C213" t="s">
        <v>325</v>
      </c>
      <c r="D213">
        <v>110000058</v>
      </c>
      <c r="E213" t="s">
        <v>547</v>
      </c>
      <c r="F213" t="s">
        <v>548</v>
      </c>
      <c r="G213" t="s">
        <v>331</v>
      </c>
      <c r="H213" t="s">
        <v>332</v>
      </c>
      <c r="I213">
        <v>0</v>
      </c>
      <c r="J213" s="9">
        <v>3.18</v>
      </c>
      <c r="K213" t="s">
        <v>326</v>
      </c>
    </row>
    <row r="214" spans="1:11" x14ac:dyDescent="0.3">
      <c r="A214">
        <v>2021</v>
      </c>
      <c r="B214" t="s">
        <v>324</v>
      </c>
      <c r="C214" t="s">
        <v>325</v>
      </c>
      <c r="D214">
        <v>110000041</v>
      </c>
      <c r="E214" t="s">
        <v>549</v>
      </c>
      <c r="F214" t="s">
        <v>548</v>
      </c>
      <c r="G214" t="s">
        <v>331</v>
      </c>
      <c r="H214" t="s">
        <v>339</v>
      </c>
      <c r="I214">
        <v>5</v>
      </c>
      <c r="J214" s="9">
        <v>2.66</v>
      </c>
      <c r="K214" t="s">
        <v>328</v>
      </c>
    </row>
    <row r="215" spans="1:11" x14ac:dyDescent="0.3">
      <c r="A215">
        <v>2021</v>
      </c>
      <c r="B215" t="s">
        <v>324</v>
      </c>
      <c r="C215" t="s">
        <v>325</v>
      </c>
      <c r="D215">
        <v>110000041</v>
      </c>
      <c r="E215" t="s">
        <v>549</v>
      </c>
      <c r="F215" t="s">
        <v>548</v>
      </c>
      <c r="G215" t="s">
        <v>335</v>
      </c>
      <c r="H215" t="s">
        <v>336</v>
      </c>
      <c r="I215">
        <v>0</v>
      </c>
      <c r="J215" s="9">
        <v>7.0000000000000007E-2</v>
      </c>
    </row>
    <row r="216" spans="1:11" x14ac:dyDescent="0.3">
      <c r="A216">
        <v>2021</v>
      </c>
      <c r="B216" t="s">
        <v>324</v>
      </c>
      <c r="C216" t="s">
        <v>325</v>
      </c>
      <c r="D216">
        <v>230000262</v>
      </c>
      <c r="E216" t="s">
        <v>550</v>
      </c>
      <c r="F216" t="s">
        <v>551</v>
      </c>
      <c r="G216" t="s">
        <v>331</v>
      </c>
      <c r="H216" t="s">
        <v>332</v>
      </c>
      <c r="I216">
        <v>1</v>
      </c>
      <c r="J216" s="9">
        <v>1.37</v>
      </c>
      <c r="K216" t="s">
        <v>328</v>
      </c>
    </row>
    <row r="217" spans="1:11" x14ac:dyDescent="0.3">
      <c r="A217">
        <v>2021</v>
      </c>
      <c r="B217" t="s">
        <v>324</v>
      </c>
      <c r="C217" t="s">
        <v>325</v>
      </c>
      <c r="D217">
        <v>230000265</v>
      </c>
      <c r="E217" t="s">
        <v>552</v>
      </c>
      <c r="F217" t="s">
        <v>551</v>
      </c>
      <c r="G217" t="s">
        <v>361</v>
      </c>
      <c r="H217" t="s">
        <v>362</v>
      </c>
      <c r="I217">
        <v>0</v>
      </c>
      <c r="J217" s="9">
        <v>0.18</v>
      </c>
    </row>
    <row r="218" spans="1:11" x14ac:dyDescent="0.3">
      <c r="A218">
        <v>2021</v>
      </c>
      <c r="B218" t="s">
        <v>324</v>
      </c>
      <c r="C218" t="s">
        <v>325</v>
      </c>
      <c r="D218">
        <v>60000002</v>
      </c>
      <c r="E218" t="s">
        <v>553</v>
      </c>
      <c r="F218" t="s">
        <v>554</v>
      </c>
      <c r="G218" t="s">
        <v>331</v>
      </c>
      <c r="H218" t="s">
        <v>339</v>
      </c>
      <c r="I218">
        <v>9</v>
      </c>
      <c r="J218" s="9">
        <v>5.35</v>
      </c>
      <c r="K218" t="s">
        <v>328</v>
      </c>
    </row>
    <row r="219" spans="1:11" x14ac:dyDescent="0.3">
      <c r="A219">
        <v>2021</v>
      </c>
      <c r="B219" t="s">
        <v>324</v>
      </c>
      <c r="C219" t="s">
        <v>325</v>
      </c>
      <c r="D219">
        <v>60000074</v>
      </c>
      <c r="E219" t="s">
        <v>555</v>
      </c>
      <c r="F219" t="s">
        <v>554</v>
      </c>
      <c r="G219" t="s">
        <v>331</v>
      </c>
      <c r="H219" t="s">
        <v>339</v>
      </c>
      <c r="I219">
        <v>2</v>
      </c>
      <c r="J219" s="9">
        <v>1.48</v>
      </c>
      <c r="K219" t="s">
        <v>328</v>
      </c>
    </row>
    <row r="220" spans="1:11" x14ac:dyDescent="0.3">
      <c r="A220">
        <v>2021</v>
      </c>
      <c r="B220" t="s">
        <v>324</v>
      </c>
      <c r="C220" t="s">
        <v>325</v>
      </c>
      <c r="D220">
        <v>60000006</v>
      </c>
      <c r="E220" t="s">
        <v>556</v>
      </c>
      <c r="F220" t="s">
        <v>554</v>
      </c>
      <c r="G220" t="s">
        <v>331</v>
      </c>
      <c r="H220" t="s">
        <v>332</v>
      </c>
      <c r="I220">
        <v>0</v>
      </c>
      <c r="J220" s="9">
        <v>0.95</v>
      </c>
      <c r="K220" t="s">
        <v>328</v>
      </c>
    </row>
    <row r="221" spans="1:11" x14ac:dyDescent="0.3">
      <c r="A221">
        <v>2021</v>
      </c>
      <c r="B221" t="s">
        <v>324</v>
      </c>
      <c r="C221" t="s">
        <v>325</v>
      </c>
      <c r="D221">
        <v>60001207</v>
      </c>
      <c r="E221" t="s">
        <v>557</v>
      </c>
      <c r="F221" t="s">
        <v>554</v>
      </c>
      <c r="G221" t="s">
        <v>331</v>
      </c>
      <c r="H221" t="s">
        <v>351</v>
      </c>
      <c r="I221">
        <v>0</v>
      </c>
      <c r="J221" s="9">
        <v>0.71</v>
      </c>
      <c r="K221" t="s">
        <v>328</v>
      </c>
    </row>
    <row r="222" spans="1:11" x14ac:dyDescent="0.3">
      <c r="A222">
        <v>2021</v>
      </c>
      <c r="B222" t="s">
        <v>324</v>
      </c>
      <c r="C222" t="s">
        <v>325</v>
      </c>
      <c r="D222">
        <v>60000007</v>
      </c>
      <c r="E222" t="s">
        <v>558</v>
      </c>
      <c r="F222" t="s">
        <v>554</v>
      </c>
      <c r="G222" t="s">
        <v>331</v>
      </c>
      <c r="H222" t="s">
        <v>351</v>
      </c>
      <c r="I222">
        <v>16</v>
      </c>
      <c r="J222" s="9">
        <v>25.52</v>
      </c>
      <c r="K222" t="s">
        <v>328</v>
      </c>
    </row>
    <row r="223" spans="1:11" x14ac:dyDescent="0.3">
      <c r="A223">
        <v>2021</v>
      </c>
      <c r="B223" t="s">
        <v>324</v>
      </c>
      <c r="C223" t="s">
        <v>325</v>
      </c>
      <c r="D223">
        <v>60000008</v>
      </c>
      <c r="E223" t="s">
        <v>559</v>
      </c>
      <c r="F223" t="s">
        <v>554</v>
      </c>
      <c r="G223" t="s">
        <v>331</v>
      </c>
      <c r="H223" t="s">
        <v>339</v>
      </c>
      <c r="I223">
        <v>0</v>
      </c>
      <c r="J223" s="9">
        <v>0</v>
      </c>
    </row>
    <row r="224" spans="1:11" x14ac:dyDescent="0.3">
      <c r="A224">
        <v>2021</v>
      </c>
      <c r="B224" t="s">
        <v>324</v>
      </c>
      <c r="C224" t="s">
        <v>325</v>
      </c>
      <c r="D224">
        <v>60001097</v>
      </c>
      <c r="E224" t="s">
        <v>560</v>
      </c>
      <c r="F224" t="s">
        <v>554</v>
      </c>
      <c r="G224" t="s">
        <v>335</v>
      </c>
      <c r="H224" t="s">
        <v>359</v>
      </c>
      <c r="I224">
        <v>0</v>
      </c>
      <c r="J224" s="9">
        <v>0.24</v>
      </c>
      <c r="K224" t="s">
        <v>328</v>
      </c>
    </row>
    <row r="225" spans="1:11" x14ac:dyDescent="0.3">
      <c r="A225">
        <v>2021</v>
      </c>
      <c r="B225" t="s">
        <v>324</v>
      </c>
      <c r="C225" t="s">
        <v>325</v>
      </c>
      <c r="D225">
        <v>60000013</v>
      </c>
      <c r="E225" t="s">
        <v>561</v>
      </c>
      <c r="F225" t="s">
        <v>554</v>
      </c>
      <c r="G225" t="s">
        <v>331</v>
      </c>
      <c r="H225" t="s">
        <v>332</v>
      </c>
      <c r="I225">
        <v>2</v>
      </c>
      <c r="J225" s="9">
        <v>0.97</v>
      </c>
      <c r="K225" t="s">
        <v>328</v>
      </c>
    </row>
    <row r="226" spans="1:11" x14ac:dyDescent="0.3">
      <c r="A226">
        <v>2021</v>
      </c>
      <c r="B226" t="s">
        <v>324</v>
      </c>
      <c r="C226" t="s">
        <v>325</v>
      </c>
      <c r="D226">
        <v>60000011</v>
      </c>
      <c r="E226" t="s">
        <v>562</v>
      </c>
      <c r="F226" t="s">
        <v>554</v>
      </c>
      <c r="G226" t="s">
        <v>331</v>
      </c>
      <c r="H226" t="s">
        <v>353</v>
      </c>
      <c r="I226">
        <v>19</v>
      </c>
      <c r="J226" s="9">
        <v>10.49</v>
      </c>
      <c r="K226" t="s">
        <v>327</v>
      </c>
    </row>
    <row r="227" spans="1:11" x14ac:dyDescent="0.3">
      <c r="A227">
        <v>2021</v>
      </c>
      <c r="B227" t="s">
        <v>324</v>
      </c>
      <c r="C227" t="s">
        <v>325</v>
      </c>
      <c r="D227">
        <v>60000058</v>
      </c>
      <c r="E227" t="s">
        <v>563</v>
      </c>
      <c r="F227" t="s">
        <v>554</v>
      </c>
      <c r="G227" t="s">
        <v>331</v>
      </c>
      <c r="H227" t="s">
        <v>332</v>
      </c>
      <c r="I227">
        <v>1</v>
      </c>
      <c r="J227" s="9">
        <v>1.71</v>
      </c>
      <c r="K227" t="s">
        <v>328</v>
      </c>
    </row>
    <row r="228" spans="1:11" x14ac:dyDescent="0.3">
      <c r="A228">
        <v>2021</v>
      </c>
      <c r="B228" t="s">
        <v>324</v>
      </c>
      <c r="C228" t="s">
        <v>325</v>
      </c>
      <c r="D228">
        <v>60001674</v>
      </c>
      <c r="E228" t="s">
        <v>564</v>
      </c>
      <c r="F228" t="s">
        <v>554</v>
      </c>
      <c r="G228" t="s">
        <v>331</v>
      </c>
      <c r="H228" t="s">
        <v>351</v>
      </c>
      <c r="I228">
        <v>0</v>
      </c>
      <c r="J228" s="9">
        <v>0.01</v>
      </c>
    </row>
    <row r="229" spans="1:11" x14ac:dyDescent="0.3">
      <c r="A229">
        <v>2021</v>
      </c>
      <c r="B229" t="s">
        <v>324</v>
      </c>
      <c r="C229" t="s">
        <v>325</v>
      </c>
      <c r="D229">
        <v>60001022</v>
      </c>
      <c r="E229" t="s">
        <v>565</v>
      </c>
      <c r="F229" t="s">
        <v>554</v>
      </c>
      <c r="G229" t="s">
        <v>331</v>
      </c>
      <c r="H229" t="s">
        <v>332</v>
      </c>
      <c r="I229">
        <v>3</v>
      </c>
      <c r="J229" s="9">
        <v>1.82</v>
      </c>
      <c r="K229" t="s">
        <v>328</v>
      </c>
    </row>
    <row r="230" spans="1:11" x14ac:dyDescent="0.3">
      <c r="A230">
        <v>2021</v>
      </c>
      <c r="B230" t="s">
        <v>324</v>
      </c>
      <c r="C230" t="s">
        <v>325</v>
      </c>
      <c r="D230">
        <v>60000014</v>
      </c>
      <c r="E230" t="s">
        <v>566</v>
      </c>
      <c r="F230" t="s">
        <v>554</v>
      </c>
      <c r="G230" t="s">
        <v>331</v>
      </c>
      <c r="H230" t="s">
        <v>353</v>
      </c>
      <c r="I230">
        <v>10</v>
      </c>
      <c r="J230" s="9">
        <v>11.62</v>
      </c>
      <c r="K230" t="s">
        <v>328</v>
      </c>
    </row>
    <row r="231" spans="1:11" x14ac:dyDescent="0.3">
      <c r="A231">
        <v>2021</v>
      </c>
      <c r="B231" t="s">
        <v>324</v>
      </c>
      <c r="C231" t="s">
        <v>325</v>
      </c>
      <c r="D231">
        <v>60000014</v>
      </c>
      <c r="E231" t="s">
        <v>566</v>
      </c>
      <c r="F231" t="s">
        <v>554</v>
      </c>
      <c r="G231" t="s">
        <v>335</v>
      </c>
      <c r="H231" t="s">
        <v>336</v>
      </c>
      <c r="I231">
        <v>0</v>
      </c>
      <c r="J231" s="9">
        <v>0.13</v>
      </c>
    </row>
    <row r="232" spans="1:11" x14ac:dyDescent="0.3">
      <c r="A232">
        <v>2021</v>
      </c>
      <c r="B232" t="s">
        <v>324</v>
      </c>
      <c r="C232" t="s">
        <v>325</v>
      </c>
      <c r="D232">
        <v>630012891</v>
      </c>
      <c r="E232" t="s">
        <v>567</v>
      </c>
      <c r="F232" t="s">
        <v>554</v>
      </c>
      <c r="G232" t="s">
        <v>331</v>
      </c>
      <c r="H232" t="s">
        <v>332</v>
      </c>
      <c r="I232">
        <v>0</v>
      </c>
      <c r="J232" s="9">
        <v>0.11</v>
      </c>
    </row>
    <row r="233" spans="1:11" x14ac:dyDescent="0.3">
      <c r="A233">
        <v>2021</v>
      </c>
      <c r="B233" t="s">
        <v>324</v>
      </c>
      <c r="C233" t="s">
        <v>325</v>
      </c>
      <c r="D233">
        <v>60000015</v>
      </c>
      <c r="E233" t="s">
        <v>568</v>
      </c>
      <c r="F233" t="s">
        <v>554</v>
      </c>
      <c r="G233" t="s">
        <v>331</v>
      </c>
      <c r="H233" t="s">
        <v>332</v>
      </c>
      <c r="I233">
        <v>8</v>
      </c>
      <c r="J233" s="9">
        <v>1.91</v>
      </c>
      <c r="K233" t="s">
        <v>327</v>
      </c>
    </row>
    <row r="234" spans="1:11" x14ac:dyDescent="0.3">
      <c r="A234">
        <v>2021</v>
      </c>
      <c r="B234" t="s">
        <v>324</v>
      </c>
      <c r="C234" t="s">
        <v>325</v>
      </c>
      <c r="D234">
        <v>630013929</v>
      </c>
      <c r="E234" t="s">
        <v>569</v>
      </c>
      <c r="F234" t="s">
        <v>554</v>
      </c>
      <c r="G234" t="s">
        <v>331</v>
      </c>
      <c r="H234" t="s">
        <v>334</v>
      </c>
      <c r="I234">
        <v>11</v>
      </c>
      <c r="J234" s="9">
        <v>10.83</v>
      </c>
      <c r="K234" t="s">
        <v>328</v>
      </c>
    </row>
    <row r="235" spans="1:11" x14ac:dyDescent="0.3">
      <c r="A235">
        <v>2021</v>
      </c>
      <c r="B235" t="s">
        <v>324</v>
      </c>
      <c r="C235" t="s">
        <v>325</v>
      </c>
      <c r="D235">
        <v>630011745</v>
      </c>
      <c r="E235" t="s">
        <v>570</v>
      </c>
      <c r="F235" t="s">
        <v>554</v>
      </c>
      <c r="G235" t="s">
        <v>331</v>
      </c>
      <c r="H235" t="s">
        <v>334</v>
      </c>
      <c r="I235">
        <v>4</v>
      </c>
      <c r="J235" s="9">
        <v>5.66</v>
      </c>
      <c r="K235" t="s">
        <v>328</v>
      </c>
    </row>
    <row r="236" spans="1:11" x14ac:dyDescent="0.3">
      <c r="A236">
        <v>2021</v>
      </c>
      <c r="B236" t="s">
        <v>324</v>
      </c>
      <c r="C236" t="s">
        <v>325</v>
      </c>
      <c r="D236">
        <v>60001360</v>
      </c>
      <c r="E236" t="s">
        <v>571</v>
      </c>
      <c r="F236" t="s">
        <v>554</v>
      </c>
      <c r="G236" t="s">
        <v>345</v>
      </c>
      <c r="H236" t="s">
        <v>346</v>
      </c>
      <c r="I236">
        <v>11</v>
      </c>
      <c r="J236" s="9">
        <v>10.5</v>
      </c>
      <c r="K236" t="s">
        <v>328</v>
      </c>
    </row>
    <row r="237" spans="1:11" x14ac:dyDescent="0.3">
      <c r="A237">
        <v>2021</v>
      </c>
      <c r="B237" t="s">
        <v>324</v>
      </c>
      <c r="C237" t="s">
        <v>325</v>
      </c>
      <c r="D237">
        <v>930001607</v>
      </c>
      <c r="E237" t="s">
        <v>572</v>
      </c>
      <c r="F237" t="s">
        <v>554</v>
      </c>
      <c r="G237" t="s">
        <v>345</v>
      </c>
      <c r="H237" t="s">
        <v>346</v>
      </c>
      <c r="I237">
        <v>30</v>
      </c>
      <c r="J237" s="9">
        <v>9.27</v>
      </c>
      <c r="K237" t="s">
        <v>327</v>
      </c>
    </row>
    <row r="238" spans="1:11" x14ac:dyDescent="0.3">
      <c r="A238">
        <v>2021</v>
      </c>
      <c r="B238" t="s">
        <v>324</v>
      </c>
      <c r="C238" t="s">
        <v>325</v>
      </c>
      <c r="D238">
        <v>60000017</v>
      </c>
      <c r="E238" t="s">
        <v>573</v>
      </c>
      <c r="F238" t="s">
        <v>554</v>
      </c>
      <c r="G238" t="s">
        <v>345</v>
      </c>
      <c r="H238" t="s">
        <v>346</v>
      </c>
      <c r="I238">
        <v>59</v>
      </c>
      <c r="J238" s="9">
        <v>23.36</v>
      </c>
      <c r="K238" t="s">
        <v>327</v>
      </c>
    </row>
    <row r="239" spans="1:11" x14ac:dyDescent="0.3">
      <c r="A239">
        <v>2021</v>
      </c>
      <c r="B239" t="s">
        <v>324</v>
      </c>
      <c r="C239" t="s">
        <v>325</v>
      </c>
      <c r="D239">
        <v>60000024</v>
      </c>
      <c r="E239" t="s">
        <v>574</v>
      </c>
      <c r="F239" t="s">
        <v>554</v>
      </c>
      <c r="G239" t="s">
        <v>331</v>
      </c>
      <c r="H239" t="s">
        <v>339</v>
      </c>
      <c r="I239">
        <v>0</v>
      </c>
      <c r="J239" s="9">
        <v>0.95</v>
      </c>
      <c r="K239" t="s">
        <v>328</v>
      </c>
    </row>
    <row r="240" spans="1:11" x14ac:dyDescent="0.3">
      <c r="A240">
        <v>2021</v>
      </c>
      <c r="B240" t="s">
        <v>324</v>
      </c>
      <c r="C240" t="s">
        <v>325</v>
      </c>
      <c r="D240">
        <v>60000025</v>
      </c>
      <c r="E240" t="s">
        <v>575</v>
      </c>
      <c r="F240" t="s">
        <v>554</v>
      </c>
      <c r="G240" t="s">
        <v>331</v>
      </c>
      <c r="H240" t="s">
        <v>339</v>
      </c>
      <c r="I240">
        <v>26</v>
      </c>
      <c r="J240" s="9">
        <v>4.6399999999999997</v>
      </c>
      <c r="K240" t="s">
        <v>327</v>
      </c>
    </row>
    <row r="241" spans="1:11" x14ac:dyDescent="0.3">
      <c r="A241">
        <v>2021</v>
      </c>
      <c r="B241" t="s">
        <v>324</v>
      </c>
      <c r="C241" t="s">
        <v>325</v>
      </c>
      <c r="D241">
        <v>60000208</v>
      </c>
      <c r="E241" t="s">
        <v>576</v>
      </c>
      <c r="F241" t="s">
        <v>554</v>
      </c>
      <c r="G241" t="s">
        <v>331</v>
      </c>
      <c r="H241" t="s">
        <v>339</v>
      </c>
      <c r="I241">
        <v>3</v>
      </c>
      <c r="J241" s="9">
        <v>8.2899999999999991</v>
      </c>
      <c r="K241" t="s">
        <v>326</v>
      </c>
    </row>
    <row r="242" spans="1:11" x14ac:dyDescent="0.3">
      <c r="A242">
        <v>2021</v>
      </c>
      <c r="B242" t="s">
        <v>324</v>
      </c>
      <c r="C242" t="s">
        <v>325</v>
      </c>
      <c r="D242">
        <v>60000063</v>
      </c>
      <c r="E242" t="s">
        <v>577</v>
      </c>
      <c r="F242" t="s">
        <v>554</v>
      </c>
      <c r="G242" t="s">
        <v>331</v>
      </c>
      <c r="H242" t="s">
        <v>339</v>
      </c>
      <c r="I242">
        <v>6</v>
      </c>
      <c r="J242" s="9">
        <v>4.9400000000000004</v>
      </c>
      <c r="K242" t="s">
        <v>328</v>
      </c>
    </row>
    <row r="243" spans="1:11" x14ac:dyDescent="0.3">
      <c r="A243">
        <v>2021</v>
      </c>
      <c r="B243" t="s">
        <v>324</v>
      </c>
      <c r="C243" t="s">
        <v>325</v>
      </c>
      <c r="D243">
        <v>60000073</v>
      </c>
      <c r="E243" t="s">
        <v>578</v>
      </c>
      <c r="F243" t="s">
        <v>554</v>
      </c>
      <c r="G243" t="s">
        <v>331</v>
      </c>
      <c r="H243" t="s">
        <v>353</v>
      </c>
      <c r="I243">
        <v>11</v>
      </c>
      <c r="J243" s="9">
        <v>8.11</v>
      </c>
      <c r="K243" t="s">
        <v>328</v>
      </c>
    </row>
    <row r="244" spans="1:11" x14ac:dyDescent="0.3">
      <c r="A244">
        <v>2021</v>
      </c>
      <c r="B244" t="s">
        <v>324</v>
      </c>
      <c r="C244" t="s">
        <v>325</v>
      </c>
      <c r="D244">
        <v>60000062</v>
      </c>
      <c r="E244" t="s">
        <v>579</v>
      </c>
      <c r="F244" t="s">
        <v>554</v>
      </c>
      <c r="G244" t="s">
        <v>331</v>
      </c>
      <c r="H244" t="s">
        <v>332</v>
      </c>
      <c r="I244">
        <v>1</v>
      </c>
      <c r="J244" s="9">
        <v>0.87</v>
      </c>
      <c r="K244" t="s">
        <v>328</v>
      </c>
    </row>
    <row r="245" spans="1:11" x14ac:dyDescent="0.3">
      <c r="A245">
        <v>2021</v>
      </c>
      <c r="B245" t="s">
        <v>324</v>
      </c>
      <c r="C245" t="s">
        <v>325</v>
      </c>
      <c r="D245">
        <v>60000060</v>
      </c>
      <c r="E245" t="s">
        <v>580</v>
      </c>
      <c r="F245" t="s">
        <v>554</v>
      </c>
      <c r="G245" t="s">
        <v>331</v>
      </c>
      <c r="H245" t="s">
        <v>334</v>
      </c>
      <c r="I245">
        <v>17</v>
      </c>
      <c r="J245" s="9">
        <v>13.27</v>
      </c>
      <c r="K245" t="s">
        <v>328</v>
      </c>
    </row>
    <row r="246" spans="1:11" x14ac:dyDescent="0.3">
      <c r="A246">
        <v>2021</v>
      </c>
      <c r="B246" t="s">
        <v>324</v>
      </c>
      <c r="C246" t="s">
        <v>325</v>
      </c>
      <c r="D246">
        <v>60000060</v>
      </c>
      <c r="E246" t="s">
        <v>580</v>
      </c>
      <c r="F246" t="s">
        <v>554</v>
      </c>
      <c r="G246" t="s">
        <v>335</v>
      </c>
      <c r="H246" t="s">
        <v>336</v>
      </c>
      <c r="I246">
        <v>0</v>
      </c>
      <c r="J246" s="9">
        <v>0.06</v>
      </c>
    </row>
    <row r="247" spans="1:11" x14ac:dyDescent="0.3">
      <c r="A247">
        <v>2021</v>
      </c>
      <c r="B247" t="s">
        <v>324</v>
      </c>
      <c r="C247" t="s">
        <v>325</v>
      </c>
      <c r="D247">
        <v>60000066</v>
      </c>
      <c r="E247" t="s">
        <v>581</v>
      </c>
      <c r="F247" t="s">
        <v>554</v>
      </c>
      <c r="G247" t="s">
        <v>331</v>
      </c>
      <c r="H247" t="s">
        <v>334</v>
      </c>
      <c r="I247">
        <v>0</v>
      </c>
      <c r="J247" s="9">
        <v>0.38</v>
      </c>
      <c r="K247" t="s">
        <v>328</v>
      </c>
    </row>
    <row r="248" spans="1:11" x14ac:dyDescent="0.3">
      <c r="A248">
        <v>2021</v>
      </c>
      <c r="B248" t="s">
        <v>324</v>
      </c>
      <c r="C248" t="s">
        <v>325</v>
      </c>
      <c r="D248">
        <v>60000067</v>
      </c>
      <c r="E248" t="s">
        <v>582</v>
      </c>
      <c r="F248" t="s">
        <v>554</v>
      </c>
      <c r="G248" t="s">
        <v>331</v>
      </c>
      <c r="H248" t="s">
        <v>353</v>
      </c>
      <c r="I248">
        <v>15</v>
      </c>
      <c r="J248" s="9">
        <v>9.1300000000000008</v>
      </c>
      <c r="K248" t="s">
        <v>328</v>
      </c>
    </row>
    <row r="249" spans="1:11" x14ac:dyDescent="0.3">
      <c r="A249">
        <v>2021</v>
      </c>
      <c r="B249" t="s">
        <v>324</v>
      </c>
      <c r="C249" t="s">
        <v>325</v>
      </c>
      <c r="D249">
        <v>60000068</v>
      </c>
      <c r="E249" t="s">
        <v>583</v>
      </c>
      <c r="F249" t="s">
        <v>554</v>
      </c>
      <c r="G249" t="s">
        <v>331</v>
      </c>
      <c r="H249" t="s">
        <v>353</v>
      </c>
      <c r="I249">
        <v>15</v>
      </c>
      <c r="J249" s="9">
        <v>12.39</v>
      </c>
      <c r="K249" t="s">
        <v>328</v>
      </c>
    </row>
    <row r="250" spans="1:11" x14ac:dyDescent="0.3">
      <c r="A250">
        <v>2021</v>
      </c>
      <c r="B250" t="s">
        <v>324</v>
      </c>
      <c r="C250" t="s">
        <v>325</v>
      </c>
      <c r="D250">
        <v>60000068</v>
      </c>
      <c r="E250" t="s">
        <v>583</v>
      </c>
      <c r="F250" t="s">
        <v>554</v>
      </c>
      <c r="G250" t="s">
        <v>335</v>
      </c>
      <c r="H250" t="s">
        <v>336</v>
      </c>
      <c r="I250">
        <v>0</v>
      </c>
      <c r="J250" s="9">
        <v>0.24</v>
      </c>
      <c r="K250" t="s">
        <v>328</v>
      </c>
    </row>
    <row r="251" spans="1:11" x14ac:dyDescent="0.3">
      <c r="A251">
        <v>2021</v>
      </c>
      <c r="B251" t="s">
        <v>324</v>
      </c>
      <c r="C251" t="s">
        <v>325</v>
      </c>
      <c r="D251">
        <v>60000021</v>
      </c>
      <c r="E251" t="s">
        <v>584</v>
      </c>
      <c r="F251" t="s">
        <v>554</v>
      </c>
      <c r="G251" t="s">
        <v>331</v>
      </c>
      <c r="H251" t="s">
        <v>339</v>
      </c>
      <c r="I251">
        <v>1</v>
      </c>
      <c r="J251" s="9">
        <v>1.06</v>
      </c>
      <c r="K251" t="s">
        <v>328</v>
      </c>
    </row>
    <row r="252" spans="1:11" x14ac:dyDescent="0.3">
      <c r="A252">
        <v>2021</v>
      </c>
      <c r="B252" t="s">
        <v>324</v>
      </c>
      <c r="C252" t="s">
        <v>325</v>
      </c>
      <c r="D252">
        <v>60000071</v>
      </c>
      <c r="E252" t="s">
        <v>585</v>
      </c>
      <c r="F252" t="s">
        <v>554</v>
      </c>
      <c r="G252" t="s">
        <v>331</v>
      </c>
      <c r="H252" t="s">
        <v>334</v>
      </c>
      <c r="I252">
        <v>37</v>
      </c>
      <c r="J252" s="9">
        <v>41.64</v>
      </c>
      <c r="K252" t="s">
        <v>328</v>
      </c>
    </row>
    <row r="253" spans="1:11" x14ac:dyDescent="0.3">
      <c r="A253">
        <v>2021</v>
      </c>
      <c r="B253" t="s">
        <v>324</v>
      </c>
      <c r="C253" t="s">
        <v>325</v>
      </c>
      <c r="D253">
        <v>60000071</v>
      </c>
      <c r="E253" t="s">
        <v>585</v>
      </c>
      <c r="F253" t="s">
        <v>554</v>
      </c>
      <c r="G253" t="s">
        <v>335</v>
      </c>
      <c r="H253" t="s">
        <v>336</v>
      </c>
      <c r="I253">
        <v>0</v>
      </c>
      <c r="J253" s="9">
        <v>0.2</v>
      </c>
      <c r="K253" t="s">
        <v>328</v>
      </c>
    </row>
    <row r="254" spans="1:11" x14ac:dyDescent="0.3">
      <c r="A254">
        <v>2021</v>
      </c>
      <c r="B254" t="s">
        <v>324</v>
      </c>
      <c r="C254" t="s">
        <v>325</v>
      </c>
      <c r="D254">
        <v>60000016</v>
      </c>
      <c r="E254" t="s">
        <v>586</v>
      </c>
      <c r="F254" t="s">
        <v>554</v>
      </c>
      <c r="G254" t="s">
        <v>331</v>
      </c>
      <c r="H254" t="s">
        <v>332</v>
      </c>
      <c r="I254">
        <v>2</v>
      </c>
      <c r="J254" s="9">
        <v>3.45</v>
      </c>
      <c r="K254" t="s">
        <v>328</v>
      </c>
    </row>
    <row r="255" spans="1:11" x14ac:dyDescent="0.3">
      <c r="A255">
        <v>2021</v>
      </c>
      <c r="B255" t="s">
        <v>324</v>
      </c>
      <c r="C255" t="s">
        <v>325</v>
      </c>
      <c r="D255">
        <v>30001370</v>
      </c>
      <c r="E255" t="s">
        <v>587</v>
      </c>
      <c r="F255" t="s">
        <v>588</v>
      </c>
      <c r="G255" t="s">
        <v>331</v>
      </c>
      <c r="H255" t="s">
        <v>334</v>
      </c>
      <c r="I255">
        <v>15</v>
      </c>
      <c r="J255" s="9">
        <v>22.99</v>
      </c>
      <c r="K255" t="s">
        <v>328</v>
      </c>
    </row>
    <row r="256" spans="1:11" x14ac:dyDescent="0.3">
      <c r="A256">
        <v>2021</v>
      </c>
      <c r="B256" t="s">
        <v>324</v>
      </c>
      <c r="C256" t="s">
        <v>325</v>
      </c>
      <c r="D256">
        <v>30000109</v>
      </c>
      <c r="E256" t="s">
        <v>589</v>
      </c>
      <c r="F256" t="s">
        <v>588</v>
      </c>
      <c r="G256" t="s">
        <v>331</v>
      </c>
      <c r="H256" t="s">
        <v>332</v>
      </c>
      <c r="I256">
        <v>2</v>
      </c>
      <c r="J256" s="9">
        <v>1.23</v>
      </c>
      <c r="K256" t="s">
        <v>328</v>
      </c>
    </row>
    <row r="257" spans="1:11" x14ac:dyDescent="0.3">
      <c r="A257">
        <v>2021</v>
      </c>
      <c r="B257" t="s">
        <v>324</v>
      </c>
      <c r="C257" t="s">
        <v>325</v>
      </c>
      <c r="D257">
        <v>30000134</v>
      </c>
      <c r="E257" t="s">
        <v>590</v>
      </c>
      <c r="F257" t="s">
        <v>588</v>
      </c>
      <c r="G257" t="s">
        <v>331</v>
      </c>
      <c r="H257" t="s">
        <v>353</v>
      </c>
      <c r="I257">
        <v>19</v>
      </c>
      <c r="J257" s="9">
        <v>15.16</v>
      </c>
      <c r="K257" t="s">
        <v>328</v>
      </c>
    </row>
    <row r="258" spans="1:11" x14ac:dyDescent="0.3">
      <c r="A258">
        <v>2021</v>
      </c>
      <c r="B258" t="s">
        <v>324</v>
      </c>
      <c r="C258" t="s">
        <v>325</v>
      </c>
      <c r="D258">
        <v>30000134</v>
      </c>
      <c r="E258" t="s">
        <v>590</v>
      </c>
      <c r="F258" t="s">
        <v>588</v>
      </c>
      <c r="G258" t="s">
        <v>335</v>
      </c>
      <c r="H258" t="s">
        <v>336</v>
      </c>
      <c r="I258">
        <v>1</v>
      </c>
      <c r="J258" s="9">
        <v>0.33</v>
      </c>
      <c r="K258" t="s">
        <v>328</v>
      </c>
    </row>
    <row r="259" spans="1:11" x14ac:dyDescent="0.3">
      <c r="A259">
        <v>2021</v>
      </c>
      <c r="B259" t="s">
        <v>324</v>
      </c>
      <c r="C259" t="s">
        <v>325</v>
      </c>
      <c r="D259">
        <v>230000004</v>
      </c>
      <c r="E259" t="s">
        <v>591</v>
      </c>
      <c r="F259" t="s">
        <v>592</v>
      </c>
      <c r="G259" t="s">
        <v>361</v>
      </c>
      <c r="H259" t="s">
        <v>362</v>
      </c>
      <c r="I259">
        <v>0</v>
      </c>
      <c r="J259" s="9">
        <v>0.01</v>
      </c>
    </row>
    <row r="260" spans="1:11" x14ac:dyDescent="0.3">
      <c r="A260">
        <v>2021</v>
      </c>
      <c r="B260" t="s">
        <v>324</v>
      </c>
      <c r="C260" t="s">
        <v>325</v>
      </c>
      <c r="D260">
        <v>230000015</v>
      </c>
      <c r="E260" t="s">
        <v>593</v>
      </c>
      <c r="F260" t="s">
        <v>592</v>
      </c>
      <c r="G260" t="s">
        <v>361</v>
      </c>
      <c r="H260" t="s">
        <v>362</v>
      </c>
      <c r="I260">
        <v>0</v>
      </c>
      <c r="J260" s="9">
        <v>0</v>
      </c>
    </row>
    <row r="261" spans="1:11" x14ac:dyDescent="0.3">
      <c r="A261">
        <v>2021</v>
      </c>
      <c r="B261" t="s">
        <v>324</v>
      </c>
      <c r="C261" t="s">
        <v>325</v>
      </c>
      <c r="D261">
        <v>230000017</v>
      </c>
      <c r="E261" t="s">
        <v>594</v>
      </c>
      <c r="F261" t="s">
        <v>592</v>
      </c>
      <c r="G261" t="s">
        <v>361</v>
      </c>
      <c r="H261" t="s">
        <v>362</v>
      </c>
      <c r="I261">
        <v>0</v>
      </c>
      <c r="J261" s="9">
        <v>0</v>
      </c>
    </row>
    <row r="262" spans="1:11" x14ac:dyDescent="0.3">
      <c r="A262">
        <v>2021</v>
      </c>
      <c r="B262" t="s">
        <v>324</v>
      </c>
      <c r="C262" t="s">
        <v>325</v>
      </c>
      <c r="D262">
        <v>250000006</v>
      </c>
      <c r="E262" t="s">
        <v>595</v>
      </c>
      <c r="F262" t="s">
        <v>596</v>
      </c>
      <c r="G262" t="s">
        <v>331</v>
      </c>
      <c r="H262" t="s">
        <v>339</v>
      </c>
      <c r="I262">
        <v>3</v>
      </c>
      <c r="J262" s="9">
        <v>1.66</v>
      </c>
      <c r="K262" t="s">
        <v>328</v>
      </c>
    </row>
    <row r="263" spans="1:11" x14ac:dyDescent="0.3">
      <c r="A263">
        <v>2021</v>
      </c>
      <c r="B263" t="s">
        <v>324</v>
      </c>
      <c r="C263" t="s">
        <v>325</v>
      </c>
      <c r="D263">
        <v>250000008</v>
      </c>
      <c r="E263" t="s">
        <v>597</v>
      </c>
      <c r="F263" t="s">
        <v>596</v>
      </c>
      <c r="G263" t="s">
        <v>331</v>
      </c>
      <c r="H263" t="s">
        <v>334</v>
      </c>
      <c r="I263">
        <v>18</v>
      </c>
      <c r="J263" s="9">
        <v>11.44</v>
      </c>
      <c r="K263" t="s">
        <v>328</v>
      </c>
    </row>
    <row r="264" spans="1:11" x14ac:dyDescent="0.3">
      <c r="A264">
        <v>2021</v>
      </c>
      <c r="B264" t="s">
        <v>324</v>
      </c>
      <c r="C264" t="s">
        <v>325</v>
      </c>
      <c r="D264">
        <v>250000008</v>
      </c>
      <c r="E264" t="s">
        <v>597</v>
      </c>
      <c r="F264" t="s">
        <v>596</v>
      </c>
      <c r="G264" t="s">
        <v>335</v>
      </c>
      <c r="H264" t="s">
        <v>336</v>
      </c>
      <c r="I264">
        <v>0</v>
      </c>
      <c r="J264" s="9">
        <v>0.01</v>
      </c>
    </row>
    <row r="265" spans="1:11" x14ac:dyDescent="0.3">
      <c r="A265">
        <v>2021</v>
      </c>
      <c r="B265" t="s">
        <v>324</v>
      </c>
      <c r="C265" t="s">
        <v>325</v>
      </c>
      <c r="D265">
        <v>250000044</v>
      </c>
      <c r="E265" t="s">
        <v>598</v>
      </c>
      <c r="F265" t="s">
        <v>596</v>
      </c>
      <c r="G265" t="s">
        <v>331</v>
      </c>
      <c r="H265" t="s">
        <v>339</v>
      </c>
      <c r="I265">
        <v>3</v>
      </c>
      <c r="J265" s="9">
        <v>1.68</v>
      </c>
      <c r="K265" t="s">
        <v>328</v>
      </c>
    </row>
    <row r="266" spans="1:11" x14ac:dyDescent="0.3">
      <c r="A266">
        <v>2021</v>
      </c>
      <c r="B266" t="s">
        <v>324</v>
      </c>
      <c r="C266" t="s">
        <v>325</v>
      </c>
      <c r="D266">
        <v>250000011</v>
      </c>
      <c r="E266" t="s">
        <v>599</v>
      </c>
      <c r="F266" t="s">
        <v>596</v>
      </c>
      <c r="G266" t="s">
        <v>331</v>
      </c>
      <c r="H266" t="s">
        <v>334</v>
      </c>
      <c r="I266">
        <v>15</v>
      </c>
      <c r="J266" s="9">
        <v>14.05</v>
      </c>
      <c r="K266" t="s">
        <v>328</v>
      </c>
    </row>
    <row r="267" spans="1:11" x14ac:dyDescent="0.3">
      <c r="A267">
        <v>2021</v>
      </c>
      <c r="B267" t="s">
        <v>324</v>
      </c>
      <c r="C267" t="s">
        <v>325</v>
      </c>
      <c r="D267">
        <v>630019237</v>
      </c>
      <c r="E267" t="s">
        <v>600</v>
      </c>
      <c r="F267" t="s">
        <v>596</v>
      </c>
      <c r="G267" t="s">
        <v>335</v>
      </c>
      <c r="H267" t="s">
        <v>359</v>
      </c>
      <c r="I267">
        <v>0</v>
      </c>
      <c r="J267" s="9">
        <v>0.24</v>
      </c>
      <c r="K267" t="s">
        <v>328</v>
      </c>
    </row>
    <row r="268" spans="1:11" x14ac:dyDescent="0.3">
      <c r="A268">
        <v>2021</v>
      </c>
      <c r="B268" t="s">
        <v>324</v>
      </c>
      <c r="C268" t="s">
        <v>325</v>
      </c>
      <c r="D268">
        <v>250000012</v>
      </c>
      <c r="E268" t="s">
        <v>601</v>
      </c>
      <c r="F268" t="s">
        <v>596</v>
      </c>
      <c r="G268" t="s">
        <v>331</v>
      </c>
      <c r="H268" t="s">
        <v>334</v>
      </c>
      <c r="I268">
        <v>1</v>
      </c>
      <c r="J268" s="9">
        <v>6.02</v>
      </c>
      <c r="K268" t="s">
        <v>326</v>
      </c>
    </row>
    <row r="269" spans="1:11" x14ac:dyDescent="0.3">
      <c r="A269">
        <v>2021</v>
      </c>
      <c r="B269" t="s">
        <v>324</v>
      </c>
      <c r="C269" t="s">
        <v>325</v>
      </c>
      <c r="D269">
        <v>250000017</v>
      </c>
      <c r="E269" t="s">
        <v>602</v>
      </c>
      <c r="F269" t="s">
        <v>596</v>
      </c>
      <c r="G269" t="s">
        <v>331</v>
      </c>
      <c r="H269" t="s">
        <v>339</v>
      </c>
      <c r="I269">
        <v>3</v>
      </c>
      <c r="J269" s="9">
        <v>1.65</v>
      </c>
      <c r="K269" t="s">
        <v>328</v>
      </c>
    </row>
    <row r="270" spans="1:11" x14ac:dyDescent="0.3">
      <c r="A270">
        <v>2021</v>
      </c>
      <c r="B270" t="s">
        <v>324</v>
      </c>
      <c r="C270" t="s">
        <v>325</v>
      </c>
      <c r="D270">
        <v>630011959</v>
      </c>
      <c r="E270" t="s">
        <v>603</v>
      </c>
      <c r="F270" t="s">
        <v>596</v>
      </c>
      <c r="G270" t="s">
        <v>331</v>
      </c>
      <c r="H270" t="s">
        <v>334</v>
      </c>
      <c r="I270">
        <v>4</v>
      </c>
      <c r="J270" s="9">
        <v>4.3499999999999996</v>
      </c>
      <c r="K270" t="s">
        <v>328</v>
      </c>
    </row>
    <row r="271" spans="1:11" x14ac:dyDescent="0.3">
      <c r="A271">
        <v>2021</v>
      </c>
      <c r="B271" t="s">
        <v>324</v>
      </c>
      <c r="C271" t="s">
        <v>325</v>
      </c>
      <c r="D271">
        <v>250000707</v>
      </c>
      <c r="E271" t="s">
        <v>604</v>
      </c>
      <c r="F271" t="s">
        <v>596</v>
      </c>
      <c r="G271" t="s">
        <v>331</v>
      </c>
      <c r="H271" t="s">
        <v>334</v>
      </c>
      <c r="I271">
        <v>8</v>
      </c>
      <c r="J271" s="9">
        <v>11.95</v>
      </c>
      <c r="K271" t="s">
        <v>328</v>
      </c>
    </row>
    <row r="272" spans="1:11" x14ac:dyDescent="0.3">
      <c r="A272">
        <v>2021</v>
      </c>
      <c r="B272" t="s">
        <v>324</v>
      </c>
      <c r="C272" t="s">
        <v>325</v>
      </c>
      <c r="D272">
        <v>250000004</v>
      </c>
      <c r="E272" t="s">
        <v>605</v>
      </c>
      <c r="F272" t="s">
        <v>596</v>
      </c>
      <c r="G272" t="s">
        <v>345</v>
      </c>
      <c r="H272" t="s">
        <v>346</v>
      </c>
      <c r="I272">
        <v>8</v>
      </c>
      <c r="J272" s="9">
        <v>7.53</v>
      </c>
      <c r="K272" t="s">
        <v>328</v>
      </c>
    </row>
    <row r="273" spans="1:11" x14ac:dyDescent="0.3">
      <c r="A273">
        <v>2021</v>
      </c>
      <c r="B273" t="s">
        <v>324</v>
      </c>
      <c r="C273" t="s">
        <v>325</v>
      </c>
      <c r="D273">
        <v>630012971</v>
      </c>
      <c r="E273" t="s">
        <v>606</v>
      </c>
      <c r="F273" t="s">
        <v>596</v>
      </c>
      <c r="G273" t="s">
        <v>331</v>
      </c>
      <c r="H273" t="s">
        <v>334</v>
      </c>
      <c r="I273">
        <v>7</v>
      </c>
      <c r="J273" s="9">
        <v>4.9000000000000004</v>
      </c>
      <c r="K273" t="s">
        <v>328</v>
      </c>
    </row>
    <row r="274" spans="1:11" x14ac:dyDescent="0.3">
      <c r="A274">
        <v>2021</v>
      </c>
      <c r="B274" t="s">
        <v>324</v>
      </c>
      <c r="C274" t="s">
        <v>325</v>
      </c>
      <c r="D274">
        <v>250000727</v>
      </c>
      <c r="E274" t="s">
        <v>607</v>
      </c>
      <c r="F274" t="s">
        <v>596</v>
      </c>
      <c r="G274" t="s">
        <v>331</v>
      </c>
      <c r="H274" t="s">
        <v>332</v>
      </c>
      <c r="I274">
        <v>0</v>
      </c>
      <c r="J274" s="9">
        <v>0.38</v>
      </c>
      <c r="K274" t="s">
        <v>328</v>
      </c>
    </row>
    <row r="275" spans="1:11" x14ac:dyDescent="0.3">
      <c r="A275">
        <v>2021</v>
      </c>
      <c r="B275" t="s">
        <v>324</v>
      </c>
      <c r="C275" t="s">
        <v>325</v>
      </c>
      <c r="D275">
        <v>250000042</v>
      </c>
      <c r="E275" t="s">
        <v>608</v>
      </c>
      <c r="F275" t="s">
        <v>596</v>
      </c>
      <c r="G275" t="s">
        <v>331</v>
      </c>
      <c r="H275" t="s">
        <v>332</v>
      </c>
      <c r="I275">
        <v>0</v>
      </c>
      <c r="J275" s="9">
        <v>0</v>
      </c>
    </row>
    <row r="276" spans="1:11" x14ac:dyDescent="0.3">
      <c r="A276">
        <v>2021</v>
      </c>
      <c r="B276" t="s">
        <v>324</v>
      </c>
      <c r="C276" t="s">
        <v>325</v>
      </c>
      <c r="D276">
        <v>250000049</v>
      </c>
      <c r="E276" t="s">
        <v>609</v>
      </c>
      <c r="F276" t="s">
        <v>596</v>
      </c>
      <c r="G276" t="s">
        <v>331</v>
      </c>
      <c r="H276" t="s">
        <v>334</v>
      </c>
      <c r="I276">
        <v>42</v>
      </c>
      <c r="J276" s="9">
        <v>22.3</v>
      </c>
      <c r="K276" t="s">
        <v>327</v>
      </c>
    </row>
    <row r="277" spans="1:11" x14ac:dyDescent="0.3">
      <c r="A277">
        <v>2021</v>
      </c>
      <c r="B277" t="s">
        <v>324</v>
      </c>
      <c r="C277" t="s">
        <v>325</v>
      </c>
      <c r="D277">
        <v>250000050</v>
      </c>
      <c r="E277" t="s">
        <v>610</v>
      </c>
      <c r="F277" t="s">
        <v>596</v>
      </c>
      <c r="G277" t="s">
        <v>331</v>
      </c>
      <c r="H277" t="s">
        <v>334</v>
      </c>
      <c r="I277">
        <v>2</v>
      </c>
      <c r="J277" s="9">
        <v>16.3</v>
      </c>
      <c r="K277" t="s">
        <v>326</v>
      </c>
    </row>
    <row r="278" spans="1:11" x14ac:dyDescent="0.3">
      <c r="A278">
        <v>2021</v>
      </c>
      <c r="B278" t="s">
        <v>324</v>
      </c>
      <c r="C278" t="s">
        <v>325</v>
      </c>
      <c r="D278">
        <v>250000101</v>
      </c>
      <c r="E278" t="s">
        <v>611</v>
      </c>
      <c r="F278" t="s">
        <v>596</v>
      </c>
      <c r="G278" t="s">
        <v>331</v>
      </c>
      <c r="H278" t="s">
        <v>334</v>
      </c>
      <c r="I278">
        <v>3</v>
      </c>
      <c r="J278" s="9">
        <v>1.39</v>
      </c>
      <c r="K278" t="s">
        <v>328</v>
      </c>
    </row>
    <row r="279" spans="1:11" x14ac:dyDescent="0.3">
      <c r="A279">
        <v>2021</v>
      </c>
      <c r="B279" t="s">
        <v>324</v>
      </c>
      <c r="C279" t="s">
        <v>325</v>
      </c>
      <c r="D279">
        <v>250000507</v>
      </c>
      <c r="E279" t="s">
        <v>612</v>
      </c>
      <c r="F279" t="s">
        <v>596</v>
      </c>
      <c r="G279" t="s">
        <v>331</v>
      </c>
      <c r="H279" t="s">
        <v>339</v>
      </c>
      <c r="I279">
        <v>1</v>
      </c>
      <c r="J279" s="9">
        <v>2.1800000000000002</v>
      </c>
      <c r="K279" t="s">
        <v>328</v>
      </c>
    </row>
    <row r="280" spans="1:11" x14ac:dyDescent="0.3">
      <c r="A280">
        <v>2021</v>
      </c>
      <c r="B280" t="s">
        <v>324</v>
      </c>
      <c r="C280" t="s">
        <v>325</v>
      </c>
      <c r="D280">
        <v>250000344</v>
      </c>
      <c r="E280" t="s">
        <v>613</v>
      </c>
      <c r="F280" t="s">
        <v>596</v>
      </c>
      <c r="G280" t="s">
        <v>331</v>
      </c>
      <c r="H280" t="s">
        <v>332</v>
      </c>
      <c r="I280">
        <v>2</v>
      </c>
      <c r="J280" s="9">
        <v>3.49</v>
      </c>
      <c r="K280" t="s">
        <v>328</v>
      </c>
    </row>
    <row r="281" spans="1:11" x14ac:dyDescent="0.3">
      <c r="A281">
        <v>2021</v>
      </c>
      <c r="B281" t="s">
        <v>324</v>
      </c>
      <c r="C281" t="s">
        <v>325</v>
      </c>
      <c r="D281">
        <v>630014442</v>
      </c>
      <c r="E281" t="s">
        <v>614</v>
      </c>
      <c r="F281" t="s">
        <v>596</v>
      </c>
      <c r="G281" t="s">
        <v>331</v>
      </c>
      <c r="H281" t="s">
        <v>339</v>
      </c>
      <c r="I281">
        <v>4</v>
      </c>
      <c r="J281" s="9">
        <v>5.0999999999999996</v>
      </c>
      <c r="K281" t="s">
        <v>328</v>
      </c>
    </row>
    <row r="282" spans="1:11" x14ac:dyDescent="0.3">
      <c r="A282">
        <v>2021</v>
      </c>
      <c r="B282" t="s">
        <v>324</v>
      </c>
      <c r="C282" t="s">
        <v>325</v>
      </c>
      <c r="D282">
        <v>630017654</v>
      </c>
      <c r="E282" t="s">
        <v>615</v>
      </c>
      <c r="F282" t="s">
        <v>596</v>
      </c>
      <c r="G282" t="s">
        <v>335</v>
      </c>
      <c r="H282" t="s">
        <v>359</v>
      </c>
      <c r="I282">
        <v>0</v>
      </c>
      <c r="J282" s="9">
        <v>0.33</v>
      </c>
      <c r="K282" t="s">
        <v>328</v>
      </c>
    </row>
    <row r="283" spans="1:11" x14ac:dyDescent="0.3">
      <c r="A283">
        <v>2021</v>
      </c>
      <c r="B283" t="s">
        <v>324</v>
      </c>
      <c r="C283" t="s">
        <v>325</v>
      </c>
      <c r="D283">
        <v>30000130</v>
      </c>
      <c r="E283" t="s">
        <v>616</v>
      </c>
      <c r="F283" t="s">
        <v>617</v>
      </c>
      <c r="G283" t="s">
        <v>331</v>
      </c>
      <c r="H283" t="s">
        <v>334</v>
      </c>
      <c r="I283">
        <v>11</v>
      </c>
      <c r="J283" s="9">
        <v>11.67</v>
      </c>
      <c r="K283" t="s">
        <v>328</v>
      </c>
    </row>
    <row r="284" spans="1:11" x14ac:dyDescent="0.3">
      <c r="A284">
        <v>2021</v>
      </c>
      <c r="B284" t="s">
        <v>324</v>
      </c>
      <c r="C284" t="s">
        <v>325</v>
      </c>
      <c r="D284">
        <v>30000133</v>
      </c>
      <c r="E284" t="s">
        <v>618</v>
      </c>
      <c r="F284" t="s">
        <v>617</v>
      </c>
      <c r="G284" t="s">
        <v>331</v>
      </c>
      <c r="H284" t="s">
        <v>334</v>
      </c>
      <c r="I284">
        <v>11</v>
      </c>
      <c r="J284" s="9">
        <v>17.989999999999998</v>
      </c>
      <c r="K284" t="s">
        <v>328</v>
      </c>
    </row>
    <row r="285" spans="1:11" x14ac:dyDescent="0.3">
      <c r="A285">
        <v>2021</v>
      </c>
      <c r="B285" t="s">
        <v>324</v>
      </c>
      <c r="C285" t="s">
        <v>325</v>
      </c>
      <c r="D285">
        <v>30000124</v>
      </c>
      <c r="E285" t="s">
        <v>619</v>
      </c>
      <c r="F285" t="s">
        <v>617</v>
      </c>
      <c r="G285" t="s">
        <v>331</v>
      </c>
      <c r="H285" t="s">
        <v>334</v>
      </c>
      <c r="I285">
        <v>8</v>
      </c>
      <c r="J285" s="9">
        <v>14.75</v>
      </c>
      <c r="K285" t="s">
        <v>328</v>
      </c>
    </row>
    <row r="286" spans="1:11" x14ac:dyDescent="0.3">
      <c r="A286">
        <v>2021</v>
      </c>
      <c r="B286" t="s">
        <v>324</v>
      </c>
      <c r="C286" t="s">
        <v>325</v>
      </c>
      <c r="D286">
        <v>30000124</v>
      </c>
      <c r="E286" t="s">
        <v>619</v>
      </c>
      <c r="F286" t="s">
        <v>617</v>
      </c>
      <c r="G286" t="s">
        <v>335</v>
      </c>
      <c r="H286" t="s">
        <v>336</v>
      </c>
      <c r="I286">
        <v>0</v>
      </c>
      <c r="J286" s="9">
        <v>0.1</v>
      </c>
    </row>
    <row r="287" spans="1:11" x14ac:dyDescent="0.3">
      <c r="A287">
        <v>2021</v>
      </c>
      <c r="B287" t="s">
        <v>324</v>
      </c>
      <c r="C287" t="s">
        <v>325</v>
      </c>
      <c r="D287">
        <v>30000901</v>
      </c>
      <c r="E287" t="s">
        <v>620</v>
      </c>
      <c r="F287" t="s">
        <v>617</v>
      </c>
      <c r="G287" t="s">
        <v>331</v>
      </c>
      <c r="H287" t="s">
        <v>332</v>
      </c>
      <c r="I287">
        <v>3</v>
      </c>
      <c r="J287" s="9">
        <v>2.4500000000000002</v>
      </c>
      <c r="K287" t="s">
        <v>328</v>
      </c>
    </row>
    <row r="288" spans="1:11" x14ac:dyDescent="0.3">
      <c r="A288">
        <v>2021</v>
      </c>
      <c r="B288" t="s">
        <v>324</v>
      </c>
      <c r="C288" t="s">
        <v>325</v>
      </c>
      <c r="D288">
        <v>30000127</v>
      </c>
      <c r="E288" t="s">
        <v>621</v>
      </c>
      <c r="F288" t="s">
        <v>617</v>
      </c>
      <c r="G288" t="s">
        <v>331</v>
      </c>
      <c r="H288" t="s">
        <v>334</v>
      </c>
      <c r="I288">
        <v>4</v>
      </c>
      <c r="J288" s="9">
        <v>15.87</v>
      </c>
      <c r="K288" t="s">
        <v>326</v>
      </c>
    </row>
    <row r="289" spans="1:11" x14ac:dyDescent="0.3">
      <c r="A289">
        <v>2021</v>
      </c>
      <c r="B289" t="s">
        <v>324</v>
      </c>
      <c r="C289" t="s">
        <v>325</v>
      </c>
      <c r="D289">
        <v>30000037</v>
      </c>
      <c r="E289" t="s">
        <v>622</v>
      </c>
      <c r="F289" t="s">
        <v>617</v>
      </c>
      <c r="G289" t="s">
        <v>331</v>
      </c>
      <c r="H289" t="s">
        <v>339</v>
      </c>
      <c r="I289">
        <v>8</v>
      </c>
      <c r="J289" s="9">
        <v>3.22</v>
      </c>
      <c r="K289" t="s">
        <v>327</v>
      </c>
    </row>
    <row r="290" spans="1:11" x14ac:dyDescent="0.3">
      <c r="A290">
        <v>2021</v>
      </c>
      <c r="B290" t="s">
        <v>324</v>
      </c>
      <c r="C290" t="s">
        <v>325</v>
      </c>
      <c r="D290">
        <v>30001506</v>
      </c>
      <c r="E290" t="s">
        <v>623</v>
      </c>
      <c r="F290" t="s">
        <v>617</v>
      </c>
      <c r="G290" t="s">
        <v>331</v>
      </c>
      <c r="H290" t="s">
        <v>351</v>
      </c>
      <c r="I290">
        <v>2</v>
      </c>
      <c r="J290" s="9">
        <v>1.39</v>
      </c>
      <c r="K290" t="s">
        <v>328</v>
      </c>
    </row>
    <row r="291" spans="1:11" x14ac:dyDescent="0.3">
      <c r="A291">
        <v>2021</v>
      </c>
      <c r="B291" t="s">
        <v>324</v>
      </c>
      <c r="C291" t="s">
        <v>325</v>
      </c>
      <c r="D291">
        <v>30000151</v>
      </c>
      <c r="E291" t="s">
        <v>624</v>
      </c>
      <c r="F291" t="s">
        <v>617</v>
      </c>
      <c r="G291" t="s">
        <v>331</v>
      </c>
      <c r="H291" t="s">
        <v>334</v>
      </c>
      <c r="I291">
        <v>21</v>
      </c>
      <c r="J291" s="9">
        <v>38.770000000000003</v>
      </c>
      <c r="K291" t="s">
        <v>326</v>
      </c>
    </row>
    <row r="292" spans="1:11" x14ac:dyDescent="0.3">
      <c r="A292">
        <v>2021</v>
      </c>
      <c r="B292" t="s">
        <v>324</v>
      </c>
      <c r="C292" t="s">
        <v>325</v>
      </c>
      <c r="D292">
        <v>30000113</v>
      </c>
      <c r="E292" t="s">
        <v>625</v>
      </c>
      <c r="F292" t="s">
        <v>617</v>
      </c>
      <c r="G292" t="s">
        <v>331</v>
      </c>
      <c r="H292" t="s">
        <v>334</v>
      </c>
      <c r="I292">
        <v>53</v>
      </c>
      <c r="J292" s="9">
        <v>79.069999999999993</v>
      </c>
      <c r="K292" t="s">
        <v>326</v>
      </c>
    </row>
    <row r="293" spans="1:11" x14ac:dyDescent="0.3">
      <c r="A293">
        <v>2021</v>
      </c>
      <c r="B293" t="s">
        <v>324</v>
      </c>
      <c r="C293" t="s">
        <v>325</v>
      </c>
      <c r="D293">
        <v>30000113</v>
      </c>
      <c r="E293" t="s">
        <v>625</v>
      </c>
      <c r="F293" t="s">
        <v>617</v>
      </c>
      <c r="G293" t="s">
        <v>335</v>
      </c>
      <c r="H293" t="s">
        <v>336</v>
      </c>
      <c r="I293">
        <v>0</v>
      </c>
      <c r="J293" s="9">
        <v>0.33</v>
      </c>
      <c r="K293" t="s">
        <v>328</v>
      </c>
    </row>
    <row r="294" spans="1:11" x14ac:dyDescent="0.3">
      <c r="A294">
        <v>2021</v>
      </c>
      <c r="B294" t="s">
        <v>324</v>
      </c>
      <c r="C294" t="s">
        <v>325</v>
      </c>
      <c r="D294">
        <v>30000907</v>
      </c>
      <c r="E294" t="s">
        <v>626</v>
      </c>
      <c r="F294" t="s">
        <v>617</v>
      </c>
      <c r="G294" t="s">
        <v>345</v>
      </c>
      <c r="H294" t="s">
        <v>346</v>
      </c>
      <c r="I294">
        <v>9</v>
      </c>
      <c r="J294" s="9">
        <v>11.23</v>
      </c>
      <c r="K294" t="s">
        <v>328</v>
      </c>
    </row>
    <row r="295" spans="1:11" x14ac:dyDescent="0.3">
      <c r="A295">
        <v>2021</v>
      </c>
      <c r="B295" t="s">
        <v>324</v>
      </c>
      <c r="C295" t="s">
        <v>325</v>
      </c>
      <c r="D295">
        <v>70000142</v>
      </c>
      <c r="E295" t="s">
        <v>627</v>
      </c>
      <c r="F295" t="s">
        <v>628</v>
      </c>
      <c r="G295" t="s">
        <v>361</v>
      </c>
      <c r="H295" t="s">
        <v>362</v>
      </c>
      <c r="I295">
        <v>0</v>
      </c>
      <c r="J295" s="9">
        <v>0.25</v>
      </c>
      <c r="K295" t="s">
        <v>328</v>
      </c>
    </row>
    <row r="296" spans="1:11" x14ac:dyDescent="0.3">
      <c r="A296">
        <v>2021</v>
      </c>
      <c r="B296" t="s">
        <v>324</v>
      </c>
      <c r="C296" t="s">
        <v>325</v>
      </c>
      <c r="D296">
        <v>240000100</v>
      </c>
      <c r="E296" t="s">
        <v>629</v>
      </c>
      <c r="F296" t="s">
        <v>630</v>
      </c>
      <c r="G296" t="s">
        <v>331</v>
      </c>
      <c r="H296" t="s">
        <v>334</v>
      </c>
      <c r="I296">
        <v>21</v>
      </c>
      <c r="J296" s="9">
        <v>18.62</v>
      </c>
      <c r="K296" t="s">
        <v>328</v>
      </c>
    </row>
    <row r="297" spans="1:11" x14ac:dyDescent="0.3">
      <c r="A297">
        <v>2021</v>
      </c>
      <c r="B297" t="s">
        <v>324</v>
      </c>
      <c r="C297" t="s">
        <v>325</v>
      </c>
      <c r="D297">
        <v>240001218</v>
      </c>
      <c r="E297" t="s">
        <v>631</v>
      </c>
      <c r="F297" t="s">
        <v>630</v>
      </c>
      <c r="G297" t="s">
        <v>335</v>
      </c>
      <c r="H297" t="s">
        <v>359</v>
      </c>
      <c r="I297">
        <v>0</v>
      </c>
      <c r="J297" s="9">
        <v>0.28000000000000003</v>
      </c>
      <c r="K297" t="s">
        <v>328</v>
      </c>
    </row>
    <row r="298" spans="1:11" x14ac:dyDescent="0.3">
      <c r="A298">
        <v>2021</v>
      </c>
      <c r="B298" t="s">
        <v>324</v>
      </c>
      <c r="C298" t="s">
        <v>325</v>
      </c>
      <c r="D298">
        <v>240000001</v>
      </c>
      <c r="E298" t="s">
        <v>632</v>
      </c>
      <c r="F298" t="s">
        <v>630</v>
      </c>
      <c r="G298" t="s">
        <v>331</v>
      </c>
      <c r="H298" t="s">
        <v>332</v>
      </c>
      <c r="I298">
        <v>2</v>
      </c>
      <c r="J298" s="9">
        <v>1.08</v>
      </c>
      <c r="K298" t="s">
        <v>328</v>
      </c>
    </row>
    <row r="299" spans="1:11" x14ac:dyDescent="0.3">
      <c r="A299">
        <v>2021</v>
      </c>
      <c r="B299" t="s">
        <v>324</v>
      </c>
      <c r="C299" t="s">
        <v>325</v>
      </c>
      <c r="D299">
        <v>240000002</v>
      </c>
      <c r="E299" t="s">
        <v>633</v>
      </c>
      <c r="F299" t="s">
        <v>630</v>
      </c>
      <c r="G299" t="s">
        <v>361</v>
      </c>
      <c r="H299" t="s">
        <v>362</v>
      </c>
      <c r="I299">
        <v>0</v>
      </c>
      <c r="J299" s="9">
        <v>0</v>
      </c>
    </row>
    <row r="300" spans="1:11" x14ac:dyDescent="0.3">
      <c r="A300">
        <v>2021</v>
      </c>
      <c r="B300" t="s">
        <v>324</v>
      </c>
      <c r="C300" t="s">
        <v>325</v>
      </c>
      <c r="D300">
        <v>240000003</v>
      </c>
      <c r="E300" t="s">
        <v>634</v>
      </c>
      <c r="F300" t="s">
        <v>630</v>
      </c>
      <c r="G300" t="s">
        <v>331</v>
      </c>
      <c r="H300" t="s">
        <v>332</v>
      </c>
      <c r="I300">
        <v>1</v>
      </c>
      <c r="J300" s="9">
        <v>2.41</v>
      </c>
      <c r="K300" t="s">
        <v>328</v>
      </c>
    </row>
    <row r="301" spans="1:11" x14ac:dyDescent="0.3">
      <c r="A301">
        <v>2021</v>
      </c>
      <c r="B301" t="s">
        <v>324</v>
      </c>
      <c r="C301" t="s">
        <v>325</v>
      </c>
      <c r="D301">
        <v>240000034</v>
      </c>
      <c r="E301" t="s">
        <v>635</v>
      </c>
      <c r="F301" t="s">
        <v>630</v>
      </c>
      <c r="G301" t="s">
        <v>361</v>
      </c>
      <c r="H301" t="s">
        <v>362</v>
      </c>
      <c r="I301">
        <v>0</v>
      </c>
      <c r="J301" s="9">
        <v>0</v>
      </c>
    </row>
    <row r="302" spans="1:11" x14ac:dyDescent="0.3">
      <c r="A302">
        <v>2021</v>
      </c>
      <c r="B302" t="s">
        <v>324</v>
      </c>
      <c r="C302" t="s">
        <v>325</v>
      </c>
      <c r="D302">
        <v>240000082</v>
      </c>
      <c r="E302" t="s">
        <v>636</v>
      </c>
      <c r="F302" t="s">
        <v>630</v>
      </c>
      <c r="G302" t="s">
        <v>331</v>
      </c>
      <c r="H302" t="s">
        <v>353</v>
      </c>
      <c r="I302">
        <v>12</v>
      </c>
      <c r="J302" s="9">
        <v>4.0599999999999996</v>
      </c>
      <c r="K302" t="s">
        <v>327</v>
      </c>
    </row>
    <row r="303" spans="1:11" x14ac:dyDescent="0.3">
      <c r="A303">
        <v>2021</v>
      </c>
      <c r="B303" t="s">
        <v>324</v>
      </c>
      <c r="C303" t="s">
        <v>325</v>
      </c>
      <c r="D303">
        <v>240001330</v>
      </c>
      <c r="E303" t="s">
        <v>637</v>
      </c>
      <c r="F303" t="s">
        <v>630</v>
      </c>
      <c r="G303" t="s">
        <v>331</v>
      </c>
      <c r="H303" t="s">
        <v>339</v>
      </c>
      <c r="I303">
        <v>1</v>
      </c>
      <c r="J303" s="9">
        <v>5.97</v>
      </c>
      <c r="K303" t="s">
        <v>326</v>
      </c>
    </row>
    <row r="304" spans="1:11" x14ac:dyDescent="0.3">
      <c r="A304">
        <v>2021</v>
      </c>
      <c r="B304" t="s">
        <v>324</v>
      </c>
      <c r="C304" t="s">
        <v>325</v>
      </c>
      <c r="D304">
        <v>240000014</v>
      </c>
      <c r="E304" t="s">
        <v>638</v>
      </c>
      <c r="F304" t="s">
        <v>630</v>
      </c>
      <c r="G304" t="s">
        <v>331</v>
      </c>
      <c r="H304" t="s">
        <v>332</v>
      </c>
      <c r="I304">
        <v>1</v>
      </c>
      <c r="J304" s="9">
        <v>0.6</v>
      </c>
      <c r="K304" t="s">
        <v>328</v>
      </c>
    </row>
    <row r="305" spans="1:11" x14ac:dyDescent="0.3">
      <c r="A305">
        <v>2021</v>
      </c>
      <c r="B305" t="s">
        <v>324</v>
      </c>
      <c r="C305" t="s">
        <v>325</v>
      </c>
      <c r="D305">
        <v>240000024</v>
      </c>
      <c r="E305" t="s">
        <v>639</v>
      </c>
      <c r="F305" t="s">
        <v>630</v>
      </c>
      <c r="G305" t="s">
        <v>331</v>
      </c>
      <c r="H305" t="s">
        <v>334</v>
      </c>
      <c r="I305">
        <v>19</v>
      </c>
      <c r="J305" s="9">
        <v>21.28</v>
      </c>
      <c r="K305" t="s">
        <v>328</v>
      </c>
    </row>
    <row r="306" spans="1:11" x14ac:dyDescent="0.3">
      <c r="A306">
        <v>2021</v>
      </c>
      <c r="B306" t="s">
        <v>324</v>
      </c>
      <c r="C306" t="s">
        <v>325</v>
      </c>
      <c r="D306">
        <v>630013398</v>
      </c>
      <c r="E306" t="s">
        <v>640</v>
      </c>
      <c r="F306" t="s">
        <v>630</v>
      </c>
      <c r="G306" t="s">
        <v>331</v>
      </c>
      <c r="H306" t="s">
        <v>334</v>
      </c>
      <c r="I306">
        <v>12</v>
      </c>
      <c r="J306" s="9">
        <v>10.92</v>
      </c>
      <c r="K306" t="s">
        <v>328</v>
      </c>
    </row>
    <row r="307" spans="1:11" x14ac:dyDescent="0.3">
      <c r="A307">
        <v>2021</v>
      </c>
      <c r="B307" t="s">
        <v>324</v>
      </c>
      <c r="C307" t="s">
        <v>325</v>
      </c>
      <c r="D307">
        <v>240000040</v>
      </c>
      <c r="E307" t="s">
        <v>641</v>
      </c>
      <c r="F307" t="s">
        <v>630</v>
      </c>
      <c r="G307" t="s">
        <v>345</v>
      </c>
      <c r="H307" t="s">
        <v>346</v>
      </c>
      <c r="I307">
        <v>5</v>
      </c>
      <c r="J307" s="9">
        <v>21.56</v>
      </c>
      <c r="K307" t="s">
        <v>326</v>
      </c>
    </row>
    <row r="308" spans="1:11" x14ac:dyDescent="0.3">
      <c r="A308">
        <v>2021</v>
      </c>
      <c r="B308" t="s">
        <v>324</v>
      </c>
      <c r="C308" t="s">
        <v>325</v>
      </c>
      <c r="D308">
        <v>240001515</v>
      </c>
      <c r="E308" t="s">
        <v>642</v>
      </c>
      <c r="F308" t="s">
        <v>630</v>
      </c>
      <c r="G308" t="s">
        <v>345</v>
      </c>
      <c r="H308" t="s">
        <v>346</v>
      </c>
      <c r="I308">
        <v>23</v>
      </c>
      <c r="J308" s="9">
        <v>14.1</v>
      </c>
      <c r="K308" t="s">
        <v>327</v>
      </c>
    </row>
    <row r="309" spans="1:11" x14ac:dyDescent="0.3">
      <c r="A309">
        <v>2021</v>
      </c>
      <c r="B309" t="s">
        <v>324</v>
      </c>
      <c r="C309" t="s">
        <v>325</v>
      </c>
      <c r="D309">
        <v>630015551</v>
      </c>
      <c r="E309" t="s">
        <v>643</v>
      </c>
      <c r="F309" t="s">
        <v>630</v>
      </c>
      <c r="G309" t="s">
        <v>331</v>
      </c>
      <c r="H309" t="s">
        <v>334</v>
      </c>
      <c r="I309">
        <v>6</v>
      </c>
      <c r="J309" s="9">
        <v>24.67</v>
      </c>
      <c r="K309" t="s">
        <v>326</v>
      </c>
    </row>
    <row r="310" spans="1:11" x14ac:dyDescent="0.3">
      <c r="A310">
        <v>2021</v>
      </c>
      <c r="B310" t="s">
        <v>324</v>
      </c>
      <c r="C310" t="s">
        <v>325</v>
      </c>
      <c r="D310">
        <v>240000027</v>
      </c>
      <c r="E310" t="s">
        <v>644</v>
      </c>
      <c r="F310" t="s">
        <v>630</v>
      </c>
      <c r="G310" t="s">
        <v>331</v>
      </c>
      <c r="H310" t="s">
        <v>334</v>
      </c>
      <c r="I310">
        <v>14</v>
      </c>
      <c r="J310" s="9">
        <v>29.89</v>
      </c>
      <c r="K310" t="s">
        <v>326</v>
      </c>
    </row>
    <row r="311" spans="1:11" x14ac:dyDescent="0.3">
      <c r="A311">
        <v>2021</v>
      </c>
      <c r="B311" t="s">
        <v>324</v>
      </c>
      <c r="C311" t="s">
        <v>325</v>
      </c>
      <c r="D311">
        <v>240000025</v>
      </c>
      <c r="E311" t="s">
        <v>645</v>
      </c>
      <c r="F311" t="s">
        <v>630</v>
      </c>
      <c r="G311" t="s">
        <v>331</v>
      </c>
      <c r="H311" t="s">
        <v>334</v>
      </c>
      <c r="I311">
        <v>0</v>
      </c>
      <c r="J311" s="9">
        <v>2.91</v>
      </c>
      <c r="K311" t="s">
        <v>328</v>
      </c>
    </row>
    <row r="312" spans="1:11" x14ac:dyDescent="0.3">
      <c r="A312">
        <v>2021</v>
      </c>
      <c r="B312" t="s">
        <v>324</v>
      </c>
      <c r="C312" t="s">
        <v>325</v>
      </c>
      <c r="D312">
        <v>240000025</v>
      </c>
      <c r="E312" t="s">
        <v>645</v>
      </c>
      <c r="F312" t="s">
        <v>630</v>
      </c>
      <c r="G312" t="s">
        <v>335</v>
      </c>
      <c r="H312" t="s">
        <v>336</v>
      </c>
      <c r="I312">
        <v>1</v>
      </c>
      <c r="J312" s="9">
        <v>0.75</v>
      </c>
      <c r="K312" t="s">
        <v>328</v>
      </c>
    </row>
    <row r="313" spans="1:11" x14ac:dyDescent="0.3">
      <c r="A313">
        <v>2021</v>
      </c>
      <c r="B313" t="s">
        <v>324</v>
      </c>
      <c r="C313" t="s">
        <v>325</v>
      </c>
      <c r="D313">
        <v>630012294</v>
      </c>
      <c r="E313" t="s">
        <v>646</v>
      </c>
      <c r="F313" t="s">
        <v>630</v>
      </c>
      <c r="G313" t="s">
        <v>331</v>
      </c>
      <c r="H313" t="s">
        <v>334</v>
      </c>
      <c r="I313">
        <v>1</v>
      </c>
      <c r="J313" s="9">
        <v>0.45</v>
      </c>
      <c r="K313" t="s">
        <v>328</v>
      </c>
    </row>
    <row r="314" spans="1:11" x14ac:dyDescent="0.3">
      <c r="A314">
        <v>2021</v>
      </c>
      <c r="B314" t="s">
        <v>324</v>
      </c>
      <c r="C314" t="s">
        <v>325</v>
      </c>
      <c r="D314">
        <v>240000009</v>
      </c>
      <c r="E314" t="s">
        <v>647</v>
      </c>
      <c r="F314" t="s">
        <v>630</v>
      </c>
      <c r="G314" t="s">
        <v>331</v>
      </c>
      <c r="H314" t="s">
        <v>332</v>
      </c>
      <c r="I314">
        <v>2</v>
      </c>
      <c r="J314" s="9">
        <v>1.28</v>
      </c>
      <c r="K314" t="s">
        <v>328</v>
      </c>
    </row>
    <row r="315" spans="1:11" x14ac:dyDescent="0.3">
      <c r="A315">
        <v>2021</v>
      </c>
      <c r="B315" t="s">
        <v>324</v>
      </c>
      <c r="C315" t="s">
        <v>325</v>
      </c>
      <c r="D315">
        <v>240000052</v>
      </c>
      <c r="E315" t="s">
        <v>648</v>
      </c>
      <c r="F315" t="s">
        <v>630</v>
      </c>
      <c r="G315" t="s">
        <v>361</v>
      </c>
      <c r="H315" t="s">
        <v>362</v>
      </c>
      <c r="I315">
        <v>0</v>
      </c>
      <c r="J315" s="9">
        <v>0.03</v>
      </c>
    </row>
    <row r="316" spans="1:11" x14ac:dyDescent="0.3">
      <c r="A316">
        <v>2021</v>
      </c>
      <c r="B316" t="s">
        <v>324</v>
      </c>
      <c r="C316" t="s">
        <v>325</v>
      </c>
      <c r="D316">
        <v>240000104</v>
      </c>
      <c r="E316" t="s">
        <v>649</v>
      </c>
      <c r="F316" t="s">
        <v>630</v>
      </c>
      <c r="G316" t="s">
        <v>331</v>
      </c>
      <c r="H316" t="s">
        <v>334</v>
      </c>
      <c r="I316">
        <v>16</v>
      </c>
      <c r="J316" s="9">
        <v>12.17</v>
      </c>
      <c r="K316" t="s">
        <v>328</v>
      </c>
    </row>
    <row r="317" spans="1:11" x14ac:dyDescent="0.3">
      <c r="A317">
        <v>2021</v>
      </c>
      <c r="B317" t="s">
        <v>324</v>
      </c>
      <c r="C317" t="s">
        <v>325</v>
      </c>
      <c r="D317">
        <v>240000046</v>
      </c>
      <c r="E317" t="s">
        <v>650</v>
      </c>
      <c r="F317" t="s">
        <v>630</v>
      </c>
      <c r="G317" t="s">
        <v>331</v>
      </c>
      <c r="H317" t="s">
        <v>339</v>
      </c>
      <c r="I317">
        <v>4</v>
      </c>
      <c r="J317" s="9">
        <v>5.28</v>
      </c>
      <c r="K317" t="s">
        <v>328</v>
      </c>
    </row>
    <row r="318" spans="1:11" x14ac:dyDescent="0.3">
      <c r="A318">
        <v>2021</v>
      </c>
      <c r="B318" t="s">
        <v>324</v>
      </c>
      <c r="C318" t="s">
        <v>325</v>
      </c>
      <c r="D318">
        <v>240000053</v>
      </c>
      <c r="E318" t="s">
        <v>651</v>
      </c>
      <c r="F318" t="s">
        <v>630</v>
      </c>
      <c r="G318" t="s">
        <v>331</v>
      </c>
      <c r="H318" t="s">
        <v>353</v>
      </c>
      <c r="I318">
        <v>18</v>
      </c>
      <c r="J318" s="9">
        <v>16.350000000000001</v>
      </c>
      <c r="K318" t="s">
        <v>328</v>
      </c>
    </row>
    <row r="319" spans="1:11" x14ac:dyDescent="0.3">
      <c r="A319">
        <v>2021</v>
      </c>
      <c r="B319" t="s">
        <v>324</v>
      </c>
      <c r="C319" t="s">
        <v>325</v>
      </c>
      <c r="D319">
        <v>240000103</v>
      </c>
      <c r="E319" t="s">
        <v>652</v>
      </c>
      <c r="F319" t="s">
        <v>630</v>
      </c>
      <c r="G319" t="s">
        <v>331</v>
      </c>
      <c r="H319" t="s">
        <v>334</v>
      </c>
      <c r="I319">
        <v>12</v>
      </c>
      <c r="J319" s="9">
        <v>17.78</v>
      </c>
      <c r="K319" t="s">
        <v>328</v>
      </c>
    </row>
    <row r="320" spans="1:11" x14ac:dyDescent="0.3">
      <c r="A320">
        <v>2021</v>
      </c>
      <c r="B320" t="s">
        <v>324</v>
      </c>
      <c r="C320" t="s">
        <v>325</v>
      </c>
      <c r="D320">
        <v>630012380</v>
      </c>
      <c r="E320" t="s">
        <v>653</v>
      </c>
      <c r="F320" t="s">
        <v>630</v>
      </c>
      <c r="G320" t="s">
        <v>335</v>
      </c>
      <c r="H320" t="s">
        <v>359</v>
      </c>
      <c r="I320">
        <v>0</v>
      </c>
      <c r="J320" s="9">
        <v>0.13</v>
      </c>
    </row>
    <row r="321" spans="1:11" x14ac:dyDescent="0.3">
      <c r="A321">
        <v>2021</v>
      </c>
      <c r="B321" t="s">
        <v>324</v>
      </c>
      <c r="C321" t="s">
        <v>325</v>
      </c>
      <c r="D321">
        <v>240000054</v>
      </c>
      <c r="E321" t="s">
        <v>654</v>
      </c>
      <c r="F321" t="s">
        <v>630</v>
      </c>
      <c r="G321" t="s">
        <v>331</v>
      </c>
      <c r="H321" t="s">
        <v>332</v>
      </c>
      <c r="I321">
        <v>2</v>
      </c>
      <c r="J321" s="9">
        <v>1.7</v>
      </c>
      <c r="K321" t="s">
        <v>328</v>
      </c>
    </row>
    <row r="322" spans="1:11" x14ac:dyDescent="0.3">
      <c r="A322">
        <v>2021</v>
      </c>
      <c r="B322" t="s">
        <v>324</v>
      </c>
      <c r="C322" t="s">
        <v>325</v>
      </c>
      <c r="D322">
        <v>90000013</v>
      </c>
      <c r="E322" t="s">
        <v>655</v>
      </c>
      <c r="F322" t="s">
        <v>656</v>
      </c>
      <c r="G322" t="s">
        <v>331</v>
      </c>
      <c r="H322" t="s">
        <v>339</v>
      </c>
      <c r="I322">
        <v>1</v>
      </c>
      <c r="J322" s="9">
        <v>3.04</v>
      </c>
      <c r="K322" t="s">
        <v>328</v>
      </c>
    </row>
    <row r="323" spans="1:11" x14ac:dyDescent="0.3">
      <c r="A323">
        <v>2021</v>
      </c>
      <c r="B323" t="s">
        <v>324</v>
      </c>
      <c r="C323" t="s">
        <v>325</v>
      </c>
      <c r="D323">
        <v>80000045</v>
      </c>
      <c r="E323" t="s">
        <v>657</v>
      </c>
      <c r="F323" t="s">
        <v>656</v>
      </c>
      <c r="G323" t="s">
        <v>331</v>
      </c>
      <c r="H323" t="s">
        <v>334</v>
      </c>
      <c r="I323">
        <v>5</v>
      </c>
      <c r="J323" s="9">
        <v>18.7</v>
      </c>
      <c r="K323" t="s">
        <v>326</v>
      </c>
    </row>
    <row r="324" spans="1:11" x14ac:dyDescent="0.3">
      <c r="A324">
        <v>2021</v>
      </c>
      <c r="B324" t="s">
        <v>324</v>
      </c>
      <c r="C324" t="s">
        <v>325</v>
      </c>
      <c r="D324">
        <v>80000045</v>
      </c>
      <c r="E324" t="s">
        <v>657</v>
      </c>
      <c r="F324" t="s">
        <v>656</v>
      </c>
      <c r="G324" t="s">
        <v>335</v>
      </c>
      <c r="H324" t="s">
        <v>336</v>
      </c>
      <c r="I324">
        <v>0</v>
      </c>
      <c r="J324" s="9">
        <v>0.04</v>
      </c>
    </row>
    <row r="325" spans="1:11" x14ac:dyDescent="0.3">
      <c r="A325">
        <v>2021</v>
      </c>
      <c r="B325" t="s">
        <v>324</v>
      </c>
      <c r="C325" t="s">
        <v>325</v>
      </c>
      <c r="D325">
        <v>630017096</v>
      </c>
      <c r="E325" t="s">
        <v>658</v>
      </c>
      <c r="F325" t="s">
        <v>656</v>
      </c>
      <c r="G325" t="s">
        <v>331</v>
      </c>
      <c r="H325" t="s">
        <v>334</v>
      </c>
      <c r="I325">
        <v>3</v>
      </c>
      <c r="J325" s="9">
        <v>10.36</v>
      </c>
      <c r="K325" t="s">
        <v>326</v>
      </c>
    </row>
    <row r="326" spans="1:11" x14ac:dyDescent="0.3">
      <c r="A326">
        <v>2021</v>
      </c>
      <c r="B326" t="s">
        <v>324</v>
      </c>
      <c r="C326" t="s">
        <v>325</v>
      </c>
      <c r="D326">
        <v>80000144</v>
      </c>
      <c r="E326" t="s">
        <v>659</v>
      </c>
      <c r="F326" t="s">
        <v>656</v>
      </c>
      <c r="G326" t="s">
        <v>331</v>
      </c>
      <c r="H326" t="s">
        <v>334</v>
      </c>
      <c r="I326">
        <v>14</v>
      </c>
      <c r="J326" s="9">
        <v>9.01</v>
      </c>
      <c r="K326" t="s">
        <v>328</v>
      </c>
    </row>
    <row r="327" spans="1:11" x14ac:dyDescent="0.3">
      <c r="A327">
        <v>2021</v>
      </c>
      <c r="B327" t="s">
        <v>324</v>
      </c>
      <c r="C327" t="s">
        <v>325</v>
      </c>
      <c r="D327">
        <v>90000048</v>
      </c>
      <c r="E327" t="s">
        <v>660</v>
      </c>
      <c r="F327" t="s">
        <v>656</v>
      </c>
      <c r="G327" t="s">
        <v>345</v>
      </c>
      <c r="H327" t="s">
        <v>346</v>
      </c>
      <c r="I327">
        <v>8</v>
      </c>
      <c r="J327" s="9">
        <v>11.4</v>
      </c>
      <c r="K327" t="s">
        <v>328</v>
      </c>
    </row>
    <row r="328" spans="1:11" x14ac:dyDescent="0.3">
      <c r="A328">
        <v>2021</v>
      </c>
      <c r="B328" t="s">
        <v>324</v>
      </c>
      <c r="C328" t="s">
        <v>325</v>
      </c>
      <c r="D328">
        <v>630013873</v>
      </c>
      <c r="E328" t="s">
        <v>661</v>
      </c>
      <c r="F328" t="s">
        <v>656</v>
      </c>
      <c r="G328" t="s">
        <v>331</v>
      </c>
      <c r="H328" t="s">
        <v>353</v>
      </c>
      <c r="I328">
        <v>10</v>
      </c>
      <c r="J328" s="9">
        <v>12.54</v>
      </c>
      <c r="K328" t="s">
        <v>328</v>
      </c>
    </row>
    <row r="329" spans="1:11" x14ac:dyDescent="0.3">
      <c r="A329">
        <v>2021</v>
      </c>
      <c r="B329" t="s">
        <v>324</v>
      </c>
      <c r="C329" t="s">
        <v>325</v>
      </c>
      <c r="D329">
        <v>80000147</v>
      </c>
      <c r="E329" t="s">
        <v>662</v>
      </c>
      <c r="F329" t="s">
        <v>656</v>
      </c>
      <c r="G329" t="s">
        <v>331</v>
      </c>
      <c r="H329" t="s">
        <v>332</v>
      </c>
      <c r="I329">
        <v>3</v>
      </c>
      <c r="J329" s="9">
        <v>1.32</v>
      </c>
      <c r="K329" t="s">
        <v>328</v>
      </c>
    </row>
    <row r="330" spans="1:11" x14ac:dyDescent="0.3">
      <c r="A330">
        <v>2021</v>
      </c>
      <c r="B330" t="s">
        <v>324</v>
      </c>
      <c r="C330" t="s">
        <v>325</v>
      </c>
      <c r="D330">
        <v>80000147</v>
      </c>
      <c r="E330" t="s">
        <v>662</v>
      </c>
      <c r="F330" t="s">
        <v>656</v>
      </c>
      <c r="G330" t="s">
        <v>335</v>
      </c>
      <c r="H330" t="s">
        <v>336</v>
      </c>
      <c r="I330">
        <v>0</v>
      </c>
      <c r="J330" s="9">
        <v>0.03</v>
      </c>
    </row>
    <row r="331" spans="1:11" x14ac:dyDescent="0.3">
      <c r="A331">
        <v>2021</v>
      </c>
      <c r="B331" t="s">
        <v>324</v>
      </c>
      <c r="C331" t="s">
        <v>325</v>
      </c>
      <c r="D331">
        <v>90000145</v>
      </c>
      <c r="E331" t="s">
        <v>663</v>
      </c>
      <c r="F331" t="s">
        <v>656</v>
      </c>
      <c r="G331" t="s">
        <v>331</v>
      </c>
      <c r="H331" t="s">
        <v>353</v>
      </c>
      <c r="I331">
        <v>1</v>
      </c>
      <c r="J331" s="9">
        <v>1.39</v>
      </c>
      <c r="K331" t="s">
        <v>328</v>
      </c>
    </row>
    <row r="332" spans="1:11" x14ac:dyDescent="0.3">
      <c r="A332">
        <v>2021</v>
      </c>
      <c r="B332" t="s">
        <v>324</v>
      </c>
      <c r="C332" t="s">
        <v>325</v>
      </c>
      <c r="D332">
        <v>90000145</v>
      </c>
      <c r="E332" t="s">
        <v>663</v>
      </c>
      <c r="F332" t="s">
        <v>656</v>
      </c>
      <c r="G332" t="s">
        <v>335</v>
      </c>
      <c r="H332" t="s">
        <v>336</v>
      </c>
      <c r="I332">
        <v>0</v>
      </c>
      <c r="J332" s="9">
        <v>0.02</v>
      </c>
    </row>
    <row r="333" spans="1:11" x14ac:dyDescent="0.3">
      <c r="A333">
        <v>2021</v>
      </c>
      <c r="B333" t="s">
        <v>324</v>
      </c>
      <c r="C333" t="s">
        <v>325</v>
      </c>
      <c r="D333">
        <v>80000023</v>
      </c>
      <c r="E333" t="s">
        <v>664</v>
      </c>
      <c r="F333" t="s">
        <v>656</v>
      </c>
      <c r="G333" t="s">
        <v>331</v>
      </c>
      <c r="H333" t="s">
        <v>351</v>
      </c>
      <c r="I333">
        <v>27</v>
      </c>
      <c r="J333" s="9">
        <v>36.69</v>
      </c>
      <c r="K333" t="s">
        <v>328</v>
      </c>
    </row>
    <row r="334" spans="1:11" x14ac:dyDescent="0.3">
      <c r="A334">
        <v>2021</v>
      </c>
      <c r="B334" t="s">
        <v>324</v>
      </c>
      <c r="C334" t="s">
        <v>325</v>
      </c>
      <c r="D334">
        <v>80000022</v>
      </c>
      <c r="E334" t="s">
        <v>665</v>
      </c>
      <c r="F334" t="s">
        <v>656</v>
      </c>
      <c r="G334" t="s">
        <v>331</v>
      </c>
      <c r="H334" t="s">
        <v>339</v>
      </c>
      <c r="I334">
        <v>13</v>
      </c>
      <c r="J334" s="9">
        <v>9.08</v>
      </c>
      <c r="K334" t="s">
        <v>328</v>
      </c>
    </row>
    <row r="335" spans="1:11" x14ac:dyDescent="0.3">
      <c r="A335">
        <v>2021</v>
      </c>
      <c r="B335" t="s">
        <v>324</v>
      </c>
      <c r="C335" t="s">
        <v>325</v>
      </c>
      <c r="D335">
        <v>80000150</v>
      </c>
      <c r="E335" t="s">
        <v>666</v>
      </c>
      <c r="F335" t="s">
        <v>656</v>
      </c>
      <c r="G335" t="s">
        <v>331</v>
      </c>
      <c r="H335" t="s">
        <v>339</v>
      </c>
      <c r="I335">
        <v>1</v>
      </c>
      <c r="J335" s="9">
        <v>3.12</v>
      </c>
      <c r="K335" t="s">
        <v>328</v>
      </c>
    </row>
    <row r="336" spans="1:11" x14ac:dyDescent="0.3">
      <c r="A336">
        <v>2021</v>
      </c>
      <c r="B336" t="s">
        <v>324</v>
      </c>
      <c r="C336" t="s">
        <v>325</v>
      </c>
      <c r="D336">
        <v>80000149</v>
      </c>
      <c r="E336" t="s">
        <v>667</v>
      </c>
      <c r="F336" t="s">
        <v>656</v>
      </c>
      <c r="G336" t="s">
        <v>331</v>
      </c>
      <c r="H336" t="s">
        <v>353</v>
      </c>
      <c r="I336">
        <v>18</v>
      </c>
      <c r="J336" s="9">
        <v>21</v>
      </c>
      <c r="K336" t="s">
        <v>328</v>
      </c>
    </row>
    <row r="337" spans="1:11" x14ac:dyDescent="0.3">
      <c r="A337">
        <v>2021</v>
      </c>
      <c r="B337" t="s">
        <v>324</v>
      </c>
      <c r="C337" t="s">
        <v>325</v>
      </c>
      <c r="D337">
        <v>90000025</v>
      </c>
      <c r="E337" t="s">
        <v>668</v>
      </c>
      <c r="F337" t="s">
        <v>656</v>
      </c>
      <c r="G337" t="s">
        <v>331</v>
      </c>
      <c r="H337" t="s">
        <v>334</v>
      </c>
      <c r="I337">
        <v>13</v>
      </c>
      <c r="J337" s="9">
        <v>11.06</v>
      </c>
      <c r="K337" t="s">
        <v>328</v>
      </c>
    </row>
    <row r="338" spans="1:11" x14ac:dyDescent="0.3">
      <c r="A338">
        <v>2021</v>
      </c>
      <c r="B338" t="s">
        <v>324</v>
      </c>
      <c r="C338" t="s">
        <v>325</v>
      </c>
      <c r="D338">
        <v>90000016</v>
      </c>
      <c r="E338" t="s">
        <v>669</v>
      </c>
      <c r="F338" t="s">
        <v>656</v>
      </c>
      <c r="G338" t="s">
        <v>331</v>
      </c>
      <c r="H338" t="s">
        <v>339</v>
      </c>
      <c r="I338">
        <v>4</v>
      </c>
      <c r="J338" s="9">
        <v>3.2</v>
      </c>
      <c r="K338" t="s">
        <v>328</v>
      </c>
    </row>
    <row r="339" spans="1:11" x14ac:dyDescent="0.3">
      <c r="A339">
        <v>2021</v>
      </c>
      <c r="B339" t="s">
        <v>324</v>
      </c>
      <c r="C339" t="s">
        <v>325</v>
      </c>
      <c r="D339">
        <v>90000977</v>
      </c>
      <c r="E339" t="s">
        <v>670</v>
      </c>
      <c r="F339" t="s">
        <v>656</v>
      </c>
      <c r="G339" t="s">
        <v>345</v>
      </c>
      <c r="H339" t="s">
        <v>346</v>
      </c>
      <c r="I339">
        <v>12</v>
      </c>
      <c r="J339" s="9">
        <v>22.01</v>
      </c>
      <c r="K339" t="s">
        <v>326</v>
      </c>
    </row>
    <row r="340" spans="1:11" x14ac:dyDescent="0.3">
      <c r="A340">
        <v>2021</v>
      </c>
      <c r="B340" t="s">
        <v>324</v>
      </c>
      <c r="C340" t="s">
        <v>325</v>
      </c>
      <c r="D340">
        <v>90000021</v>
      </c>
      <c r="E340" t="s">
        <v>671</v>
      </c>
      <c r="F340" t="s">
        <v>656</v>
      </c>
      <c r="G340" t="s">
        <v>331</v>
      </c>
      <c r="H340" t="s">
        <v>353</v>
      </c>
      <c r="I340">
        <v>16</v>
      </c>
      <c r="J340" s="9">
        <v>12.36</v>
      </c>
      <c r="K340" t="s">
        <v>328</v>
      </c>
    </row>
    <row r="341" spans="1:11" x14ac:dyDescent="0.3">
      <c r="A341">
        <v>2021</v>
      </c>
      <c r="B341" t="s">
        <v>324</v>
      </c>
      <c r="C341" t="s">
        <v>325</v>
      </c>
      <c r="D341">
        <v>90000033</v>
      </c>
      <c r="E341" t="s">
        <v>672</v>
      </c>
      <c r="F341" t="s">
        <v>656</v>
      </c>
      <c r="G341" t="s">
        <v>331</v>
      </c>
      <c r="H341" t="s">
        <v>334</v>
      </c>
      <c r="I341">
        <v>5</v>
      </c>
      <c r="J341" s="9">
        <v>1.56</v>
      </c>
      <c r="K341" t="s">
        <v>327</v>
      </c>
    </row>
    <row r="342" spans="1:11" x14ac:dyDescent="0.3">
      <c r="A342">
        <v>2021</v>
      </c>
      <c r="B342" t="s">
        <v>324</v>
      </c>
      <c r="C342" t="s">
        <v>325</v>
      </c>
      <c r="D342">
        <v>80001470</v>
      </c>
      <c r="E342" t="s">
        <v>673</v>
      </c>
      <c r="F342" t="s">
        <v>656</v>
      </c>
      <c r="G342" t="s">
        <v>331</v>
      </c>
      <c r="H342" t="s">
        <v>334</v>
      </c>
      <c r="I342">
        <v>3</v>
      </c>
      <c r="J342" s="9">
        <v>6.04</v>
      </c>
      <c r="K342" t="s">
        <v>328</v>
      </c>
    </row>
    <row r="343" spans="1:11" x14ac:dyDescent="0.3">
      <c r="A343">
        <v>2021</v>
      </c>
      <c r="B343" t="s">
        <v>324</v>
      </c>
      <c r="C343" t="s">
        <v>325</v>
      </c>
      <c r="D343">
        <v>80000036</v>
      </c>
      <c r="E343" t="s">
        <v>674</v>
      </c>
      <c r="F343" t="s">
        <v>656</v>
      </c>
      <c r="G343" t="s">
        <v>331</v>
      </c>
      <c r="H343" t="s">
        <v>334</v>
      </c>
      <c r="I343">
        <v>23</v>
      </c>
      <c r="J343" s="9">
        <v>32.46</v>
      </c>
      <c r="K343" t="s">
        <v>328</v>
      </c>
    </row>
    <row r="344" spans="1:11" x14ac:dyDescent="0.3">
      <c r="A344">
        <v>2021</v>
      </c>
      <c r="B344" t="s">
        <v>324</v>
      </c>
      <c r="C344" t="s">
        <v>325</v>
      </c>
      <c r="D344">
        <v>80000036</v>
      </c>
      <c r="E344" t="s">
        <v>674</v>
      </c>
      <c r="F344" t="s">
        <v>656</v>
      </c>
      <c r="G344" t="s">
        <v>335</v>
      </c>
      <c r="H344" t="s">
        <v>336</v>
      </c>
      <c r="I344">
        <v>1</v>
      </c>
      <c r="J344" s="9">
        <v>0.23</v>
      </c>
      <c r="K344" t="s">
        <v>328</v>
      </c>
    </row>
    <row r="345" spans="1:11" x14ac:dyDescent="0.3">
      <c r="A345">
        <v>2021</v>
      </c>
      <c r="B345" t="s">
        <v>324</v>
      </c>
      <c r="C345" t="s">
        <v>325</v>
      </c>
      <c r="D345">
        <v>80000152</v>
      </c>
      <c r="E345" t="s">
        <v>675</v>
      </c>
      <c r="F345" t="s">
        <v>656</v>
      </c>
      <c r="G345" t="s">
        <v>331</v>
      </c>
      <c r="H345" t="s">
        <v>353</v>
      </c>
      <c r="I345">
        <v>12</v>
      </c>
      <c r="J345" s="9">
        <v>9.3000000000000007</v>
      </c>
      <c r="K345" t="s">
        <v>328</v>
      </c>
    </row>
    <row r="346" spans="1:11" x14ac:dyDescent="0.3">
      <c r="A346">
        <v>2021</v>
      </c>
      <c r="B346" t="s">
        <v>324</v>
      </c>
      <c r="C346" t="s">
        <v>325</v>
      </c>
      <c r="D346">
        <v>80000152</v>
      </c>
      <c r="E346" t="s">
        <v>675</v>
      </c>
      <c r="F346" t="s">
        <v>656</v>
      </c>
      <c r="G346" t="s">
        <v>335</v>
      </c>
      <c r="H346" t="s">
        <v>336</v>
      </c>
      <c r="I346">
        <v>0</v>
      </c>
      <c r="J346" s="9">
        <v>0.14000000000000001</v>
      </c>
    </row>
    <row r="347" spans="1:11" x14ac:dyDescent="0.3">
      <c r="A347">
        <v>2021</v>
      </c>
      <c r="B347" t="s">
        <v>324</v>
      </c>
      <c r="C347" t="s">
        <v>325</v>
      </c>
      <c r="D347">
        <v>90000154</v>
      </c>
      <c r="E347" t="s">
        <v>676</v>
      </c>
      <c r="F347" t="s">
        <v>656</v>
      </c>
      <c r="G347" t="s">
        <v>331</v>
      </c>
      <c r="H347" t="s">
        <v>334</v>
      </c>
      <c r="I347">
        <v>8</v>
      </c>
      <c r="J347" s="9">
        <v>24.03</v>
      </c>
      <c r="K347" t="s">
        <v>326</v>
      </c>
    </row>
    <row r="348" spans="1:11" x14ac:dyDescent="0.3">
      <c r="A348">
        <v>2021</v>
      </c>
      <c r="B348" t="s">
        <v>324</v>
      </c>
      <c r="C348" t="s">
        <v>325</v>
      </c>
      <c r="D348">
        <v>90001116</v>
      </c>
      <c r="E348" t="s">
        <v>677</v>
      </c>
      <c r="F348" t="s">
        <v>656</v>
      </c>
      <c r="G348" t="s">
        <v>331</v>
      </c>
      <c r="H348" t="s">
        <v>334</v>
      </c>
      <c r="I348">
        <v>32</v>
      </c>
      <c r="J348" s="9">
        <v>58.76</v>
      </c>
      <c r="K348" t="s">
        <v>326</v>
      </c>
    </row>
    <row r="349" spans="1:11" x14ac:dyDescent="0.3">
      <c r="A349">
        <v>2021</v>
      </c>
      <c r="B349" t="s">
        <v>324</v>
      </c>
      <c r="C349" t="s">
        <v>325</v>
      </c>
      <c r="D349">
        <v>220000023</v>
      </c>
      <c r="E349" t="s">
        <v>678</v>
      </c>
      <c r="F349" t="s">
        <v>679</v>
      </c>
      <c r="G349" t="s">
        <v>331</v>
      </c>
      <c r="H349" t="s">
        <v>334</v>
      </c>
      <c r="I349">
        <v>4</v>
      </c>
      <c r="J349" s="9">
        <v>2.85</v>
      </c>
      <c r="K349" t="s">
        <v>328</v>
      </c>
    </row>
    <row r="350" spans="1:11" x14ac:dyDescent="0.3">
      <c r="A350">
        <v>2021</v>
      </c>
      <c r="B350" t="s">
        <v>324</v>
      </c>
      <c r="C350" t="s">
        <v>325</v>
      </c>
      <c r="D350">
        <v>220000023</v>
      </c>
      <c r="E350" t="s">
        <v>678</v>
      </c>
      <c r="F350" t="s">
        <v>679</v>
      </c>
      <c r="G350" t="s">
        <v>335</v>
      </c>
      <c r="H350" t="s">
        <v>336</v>
      </c>
      <c r="I350">
        <v>0</v>
      </c>
      <c r="J350" s="9">
        <v>0.34</v>
      </c>
      <c r="K350" t="s">
        <v>328</v>
      </c>
    </row>
    <row r="351" spans="1:11" x14ac:dyDescent="0.3">
      <c r="A351">
        <v>2021</v>
      </c>
      <c r="B351" t="s">
        <v>324</v>
      </c>
      <c r="C351" t="s">
        <v>325</v>
      </c>
      <c r="D351">
        <v>220000018</v>
      </c>
      <c r="E351" t="s">
        <v>680</v>
      </c>
      <c r="F351" t="s">
        <v>679</v>
      </c>
      <c r="G351" t="s">
        <v>331</v>
      </c>
      <c r="H351" t="s">
        <v>334</v>
      </c>
      <c r="I351">
        <v>2</v>
      </c>
      <c r="J351" s="9">
        <v>2.44</v>
      </c>
      <c r="K351" t="s">
        <v>328</v>
      </c>
    </row>
    <row r="352" spans="1:11" x14ac:dyDescent="0.3">
      <c r="A352">
        <v>2021</v>
      </c>
      <c r="B352" t="s">
        <v>324</v>
      </c>
      <c r="C352" t="s">
        <v>325</v>
      </c>
      <c r="D352">
        <v>220000022</v>
      </c>
      <c r="E352" t="s">
        <v>681</v>
      </c>
      <c r="F352" t="s">
        <v>679</v>
      </c>
      <c r="G352" t="s">
        <v>331</v>
      </c>
      <c r="H352" t="s">
        <v>334</v>
      </c>
      <c r="I352">
        <v>11</v>
      </c>
      <c r="J352" s="9">
        <v>25.75</v>
      </c>
      <c r="K352" t="s">
        <v>326</v>
      </c>
    </row>
    <row r="353" spans="1:11" x14ac:dyDescent="0.3">
      <c r="A353">
        <v>2021</v>
      </c>
      <c r="B353" t="s">
        <v>324</v>
      </c>
      <c r="C353" t="s">
        <v>325</v>
      </c>
      <c r="D353">
        <v>220000003</v>
      </c>
      <c r="E353" t="s">
        <v>682</v>
      </c>
      <c r="F353" t="s">
        <v>679</v>
      </c>
      <c r="G353" t="s">
        <v>331</v>
      </c>
      <c r="H353" t="s">
        <v>332</v>
      </c>
      <c r="I353">
        <v>0</v>
      </c>
      <c r="J353" s="9">
        <v>0.37</v>
      </c>
      <c r="K353" t="s">
        <v>328</v>
      </c>
    </row>
    <row r="354" spans="1:11" x14ac:dyDescent="0.3">
      <c r="A354">
        <v>2021</v>
      </c>
      <c r="B354" t="s">
        <v>324</v>
      </c>
      <c r="C354" t="s">
        <v>325</v>
      </c>
      <c r="D354">
        <v>220000008</v>
      </c>
      <c r="E354" t="s">
        <v>683</v>
      </c>
      <c r="F354" t="s">
        <v>679</v>
      </c>
      <c r="G354" t="s">
        <v>331</v>
      </c>
      <c r="H354" t="s">
        <v>334</v>
      </c>
      <c r="I354">
        <v>8</v>
      </c>
      <c r="J354" s="9">
        <v>9.0399999999999991</v>
      </c>
      <c r="K354" t="s">
        <v>328</v>
      </c>
    </row>
    <row r="355" spans="1:11" x14ac:dyDescent="0.3">
      <c r="A355">
        <v>2021</v>
      </c>
      <c r="B355" t="s">
        <v>324</v>
      </c>
      <c r="C355" t="s">
        <v>325</v>
      </c>
      <c r="D355">
        <v>630016625</v>
      </c>
      <c r="E355" t="s">
        <v>684</v>
      </c>
      <c r="F355" t="s">
        <v>679</v>
      </c>
      <c r="G355" t="s">
        <v>345</v>
      </c>
      <c r="H355" t="s">
        <v>346</v>
      </c>
      <c r="I355">
        <v>1</v>
      </c>
      <c r="J355" s="9">
        <v>8.3800000000000008</v>
      </c>
      <c r="K355" t="s">
        <v>326</v>
      </c>
    </row>
    <row r="356" spans="1:11" x14ac:dyDescent="0.3">
      <c r="A356">
        <v>2021</v>
      </c>
      <c r="B356" t="s">
        <v>324</v>
      </c>
      <c r="C356" t="s">
        <v>325</v>
      </c>
      <c r="D356">
        <v>220000012</v>
      </c>
      <c r="E356" t="s">
        <v>685</v>
      </c>
      <c r="F356" t="s">
        <v>679</v>
      </c>
      <c r="G356" t="s">
        <v>331</v>
      </c>
      <c r="H356" t="s">
        <v>332</v>
      </c>
      <c r="I356">
        <v>0</v>
      </c>
      <c r="J356" s="9">
        <v>0.02</v>
      </c>
    </row>
    <row r="357" spans="1:11" x14ac:dyDescent="0.3">
      <c r="A357">
        <v>2021</v>
      </c>
      <c r="B357" t="s">
        <v>324</v>
      </c>
      <c r="C357" t="s">
        <v>325</v>
      </c>
      <c r="D357">
        <v>220000012</v>
      </c>
      <c r="E357" t="s">
        <v>685</v>
      </c>
      <c r="F357" t="s">
        <v>679</v>
      </c>
      <c r="G357" t="s">
        <v>335</v>
      </c>
      <c r="H357" t="s">
        <v>336</v>
      </c>
      <c r="I357">
        <v>0</v>
      </c>
      <c r="J357" s="9">
        <v>0</v>
      </c>
    </row>
    <row r="358" spans="1:11" x14ac:dyDescent="0.3">
      <c r="A358">
        <v>2021</v>
      </c>
      <c r="B358" t="s">
        <v>324</v>
      </c>
      <c r="C358" t="s">
        <v>325</v>
      </c>
      <c r="D358">
        <v>220000029</v>
      </c>
      <c r="E358" t="s">
        <v>686</v>
      </c>
      <c r="F358" t="s">
        <v>679</v>
      </c>
      <c r="G358" t="s">
        <v>331</v>
      </c>
      <c r="H358" t="s">
        <v>339</v>
      </c>
      <c r="I358">
        <v>0</v>
      </c>
      <c r="J358" s="9">
        <v>3.09</v>
      </c>
      <c r="K358" t="s">
        <v>326</v>
      </c>
    </row>
    <row r="359" spans="1:11" x14ac:dyDescent="0.3">
      <c r="A359">
        <v>2021</v>
      </c>
      <c r="B359" t="s">
        <v>324</v>
      </c>
      <c r="C359" t="s">
        <v>325</v>
      </c>
      <c r="D359">
        <v>220000029</v>
      </c>
      <c r="E359" t="s">
        <v>686</v>
      </c>
      <c r="F359" t="s">
        <v>679</v>
      </c>
      <c r="G359" t="s">
        <v>335</v>
      </c>
      <c r="H359" t="s">
        <v>336</v>
      </c>
      <c r="I359">
        <v>0</v>
      </c>
      <c r="J359" s="9">
        <v>0.22</v>
      </c>
      <c r="K359" t="s">
        <v>328</v>
      </c>
    </row>
    <row r="360" spans="1:11" x14ac:dyDescent="0.3">
      <c r="A360">
        <v>2021</v>
      </c>
      <c r="B360" t="s">
        <v>324</v>
      </c>
      <c r="C360" t="s">
        <v>325</v>
      </c>
      <c r="D360">
        <v>220000030</v>
      </c>
      <c r="E360" t="s">
        <v>687</v>
      </c>
      <c r="F360" t="s">
        <v>679</v>
      </c>
      <c r="G360" t="s">
        <v>331</v>
      </c>
      <c r="H360" t="s">
        <v>339</v>
      </c>
      <c r="I360">
        <v>1</v>
      </c>
      <c r="J360" s="9">
        <v>2.7</v>
      </c>
      <c r="K360" t="s">
        <v>328</v>
      </c>
    </row>
    <row r="361" spans="1:11" x14ac:dyDescent="0.3">
      <c r="A361">
        <v>2021</v>
      </c>
      <c r="B361" t="s">
        <v>324</v>
      </c>
      <c r="C361" t="s">
        <v>325</v>
      </c>
      <c r="D361">
        <v>220000030</v>
      </c>
      <c r="E361" t="s">
        <v>687</v>
      </c>
      <c r="F361" t="s">
        <v>679</v>
      </c>
      <c r="G361" t="s">
        <v>335</v>
      </c>
      <c r="H361" t="s">
        <v>336</v>
      </c>
      <c r="I361">
        <v>0</v>
      </c>
      <c r="J361" s="9">
        <v>0.28000000000000003</v>
      </c>
      <c r="K361" t="s">
        <v>328</v>
      </c>
    </row>
    <row r="362" spans="1:11" x14ac:dyDescent="0.3">
      <c r="A362">
        <v>2021</v>
      </c>
      <c r="B362" t="s">
        <v>324</v>
      </c>
      <c r="C362" t="s">
        <v>325</v>
      </c>
      <c r="D362">
        <v>220000031</v>
      </c>
      <c r="E362" t="s">
        <v>688</v>
      </c>
      <c r="F362" t="s">
        <v>679</v>
      </c>
      <c r="G362" t="s">
        <v>331</v>
      </c>
      <c r="H362" t="s">
        <v>334</v>
      </c>
      <c r="I362">
        <v>52</v>
      </c>
      <c r="J362" s="9">
        <v>64.31</v>
      </c>
      <c r="K362" t="s">
        <v>328</v>
      </c>
    </row>
    <row r="363" spans="1:11" x14ac:dyDescent="0.3">
      <c r="A363">
        <v>2021</v>
      </c>
      <c r="B363" t="s">
        <v>324</v>
      </c>
      <c r="C363" t="s">
        <v>325</v>
      </c>
      <c r="D363">
        <v>630015778</v>
      </c>
      <c r="E363" t="s">
        <v>689</v>
      </c>
      <c r="F363" t="s">
        <v>679</v>
      </c>
      <c r="G363" t="s">
        <v>331</v>
      </c>
      <c r="H363" t="s">
        <v>334</v>
      </c>
      <c r="I363">
        <v>26</v>
      </c>
      <c r="J363" s="9">
        <v>32.299999999999997</v>
      </c>
      <c r="K363" t="s">
        <v>328</v>
      </c>
    </row>
    <row r="364" spans="1:11" x14ac:dyDescent="0.3">
      <c r="A364">
        <v>2021</v>
      </c>
      <c r="B364" t="s">
        <v>324</v>
      </c>
      <c r="C364" t="s">
        <v>325</v>
      </c>
      <c r="D364">
        <v>220000015</v>
      </c>
      <c r="E364" t="s">
        <v>690</v>
      </c>
      <c r="F364" t="s">
        <v>679</v>
      </c>
      <c r="G364" t="s">
        <v>331</v>
      </c>
      <c r="H364" t="s">
        <v>334</v>
      </c>
      <c r="I364">
        <v>1</v>
      </c>
      <c r="J364" s="9">
        <v>1.93</v>
      </c>
      <c r="K364" t="s">
        <v>328</v>
      </c>
    </row>
    <row r="365" spans="1:11" x14ac:dyDescent="0.3">
      <c r="A365">
        <v>2021</v>
      </c>
      <c r="B365" t="s">
        <v>324</v>
      </c>
      <c r="C365" t="s">
        <v>325</v>
      </c>
      <c r="D365">
        <v>220000019</v>
      </c>
      <c r="E365" t="s">
        <v>691</v>
      </c>
      <c r="F365" t="s">
        <v>679</v>
      </c>
      <c r="G365" t="s">
        <v>331</v>
      </c>
      <c r="H365" t="s">
        <v>334</v>
      </c>
      <c r="I365">
        <v>7</v>
      </c>
      <c r="J365" s="9">
        <v>11.82</v>
      </c>
      <c r="K365" t="s">
        <v>328</v>
      </c>
    </row>
    <row r="366" spans="1:11" x14ac:dyDescent="0.3">
      <c r="A366">
        <v>2021</v>
      </c>
      <c r="B366" t="s">
        <v>324</v>
      </c>
      <c r="C366" t="s">
        <v>325</v>
      </c>
      <c r="D366">
        <v>30000139</v>
      </c>
      <c r="E366" t="s">
        <v>692</v>
      </c>
      <c r="F366" t="s">
        <v>693</v>
      </c>
      <c r="G366" t="s">
        <v>331</v>
      </c>
      <c r="H366" t="s">
        <v>339</v>
      </c>
      <c r="I366">
        <v>4</v>
      </c>
      <c r="J366" s="9">
        <v>2.2400000000000002</v>
      </c>
      <c r="K366" t="s">
        <v>328</v>
      </c>
    </row>
    <row r="367" spans="1:11" x14ac:dyDescent="0.3">
      <c r="A367">
        <v>2021</v>
      </c>
      <c r="B367" t="s">
        <v>324</v>
      </c>
      <c r="C367" t="s">
        <v>325</v>
      </c>
      <c r="D367">
        <v>30000139</v>
      </c>
      <c r="E367" t="s">
        <v>692</v>
      </c>
      <c r="F367" t="s">
        <v>693</v>
      </c>
      <c r="G367" t="s">
        <v>335</v>
      </c>
      <c r="H367" t="s">
        <v>336</v>
      </c>
      <c r="I367">
        <v>0</v>
      </c>
      <c r="J367" s="9">
        <v>0.02</v>
      </c>
    </row>
    <row r="368" spans="1:11" x14ac:dyDescent="0.3">
      <c r="A368">
        <v>2021</v>
      </c>
      <c r="B368" t="s">
        <v>324</v>
      </c>
      <c r="C368" t="s">
        <v>325</v>
      </c>
      <c r="D368">
        <v>30000117</v>
      </c>
      <c r="E368" t="s">
        <v>694</v>
      </c>
      <c r="F368" t="s">
        <v>693</v>
      </c>
      <c r="G368" t="s">
        <v>331</v>
      </c>
      <c r="H368" t="s">
        <v>353</v>
      </c>
      <c r="I368">
        <v>5</v>
      </c>
      <c r="J368" s="9">
        <v>2.84</v>
      </c>
      <c r="K368" t="s">
        <v>328</v>
      </c>
    </row>
    <row r="369" spans="1:11" x14ac:dyDescent="0.3">
      <c r="A369">
        <v>2021</v>
      </c>
      <c r="B369" t="s">
        <v>324</v>
      </c>
      <c r="C369" t="s">
        <v>325</v>
      </c>
      <c r="D369">
        <v>30000118</v>
      </c>
      <c r="E369" t="s">
        <v>695</v>
      </c>
      <c r="F369" t="s">
        <v>693</v>
      </c>
      <c r="G369" t="s">
        <v>331</v>
      </c>
      <c r="H369" t="s">
        <v>332</v>
      </c>
      <c r="I369">
        <v>11</v>
      </c>
      <c r="J369" s="9">
        <v>1.29</v>
      </c>
      <c r="K369" t="s">
        <v>327</v>
      </c>
    </row>
    <row r="370" spans="1:11" x14ac:dyDescent="0.3">
      <c r="A370">
        <v>2021</v>
      </c>
      <c r="B370" t="s">
        <v>324</v>
      </c>
      <c r="C370" t="s">
        <v>325</v>
      </c>
      <c r="D370">
        <v>30000973</v>
      </c>
      <c r="E370" t="s">
        <v>696</v>
      </c>
      <c r="F370" t="s">
        <v>693</v>
      </c>
      <c r="G370" t="s">
        <v>331</v>
      </c>
      <c r="H370" t="s">
        <v>332</v>
      </c>
      <c r="I370">
        <v>0</v>
      </c>
      <c r="J370" s="9">
        <v>1.1200000000000001</v>
      </c>
      <c r="K370" t="s">
        <v>328</v>
      </c>
    </row>
    <row r="371" spans="1:11" x14ac:dyDescent="0.3">
      <c r="A371">
        <v>2021</v>
      </c>
      <c r="B371" t="s">
        <v>324</v>
      </c>
      <c r="C371" t="s">
        <v>325</v>
      </c>
      <c r="D371">
        <v>30000135</v>
      </c>
      <c r="E371" t="s">
        <v>697</v>
      </c>
      <c r="F371" t="s">
        <v>693</v>
      </c>
      <c r="G371" t="s">
        <v>331</v>
      </c>
      <c r="H371" t="s">
        <v>334</v>
      </c>
      <c r="I371">
        <v>39</v>
      </c>
      <c r="J371" s="9">
        <v>8.92</v>
      </c>
      <c r="K371" t="s">
        <v>327</v>
      </c>
    </row>
    <row r="372" spans="1:11" x14ac:dyDescent="0.3">
      <c r="A372">
        <v>2021</v>
      </c>
      <c r="B372" t="s">
        <v>324</v>
      </c>
      <c r="C372" t="s">
        <v>325</v>
      </c>
      <c r="D372">
        <v>30000143</v>
      </c>
      <c r="E372" t="s">
        <v>698</v>
      </c>
      <c r="F372" t="s">
        <v>693</v>
      </c>
      <c r="G372" t="s">
        <v>331</v>
      </c>
      <c r="H372" t="s">
        <v>353</v>
      </c>
      <c r="I372">
        <v>43</v>
      </c>
      <c r="J372" s="9">
        <v>19.88</v>
      </c>
      <c r="K372" t="s">
        <v>327</v>
      </c>
    </row>
    <row r="373" spans="1:11" x14ac:dyDescent="0.3">
      <c r="A373">
        <v>2021</v>
      </c>
      <c r="B373" t="s">
        <v>324</v>
      </c>
      <c r="C373" t="s">
        <v>325</v>
      </c>
      <c r="D373">
        <v>30000141</v>
      </c>
      <c r="E373" t="s">
        <v>699</v>
      </c>
      <c r="F373" t="s">
        <v>693</v>
      </c>
      <c r="G373" t="s">
        <v>331</v>
      </c>
      <c r="H373" t="s">
        <v>332</v>
      </c>
      <c r="I373">
        <v>0</v>
      </c>
      <c r="J373" s="9">
        <v>1.49</v>
      </c>
      <c r="K373" t="s">
        <v>328</v>
      </c>
    </row>
    <row r="374" spans="1:11" x14ac:dyDescent="0.3">
      <c r="A374">
        <v>2021</v>
      </c>
      <c r="B374" t="s">
        <v>324</v>
      </c>
      <c r="C374" t="s">
        <v>325</v>
      </c>
      <c r="D374">
        <v>50000016</v>
      </c>
      <c r="E374" t="s">
        <v>700</v>
      </c>
      <c r="F374" t="s">
        <v>701</v>
      </c>
      <c r="G374" t="s">
        <v>331</v>
      </c>
      <c r="H374" t="s">
        <v>332</v>
      </c>
      <c r="I374">
        <v>3</v>
      </c>
      <c r="J374" s="9">
        <v>2.3199999999999998</v>
      </c>
      <c r="K374" t="s">
        <v>328</v>
      </c>
    </row>
    <row r="375" spans="1:11" x14ac:dyDescent="0.3">
      <c r="A375">
        <v>2021</v>
      </c>
      <c r="B375" t="s">
        <v>324</v>
      </c>
      <c r="C375" t="s">
        <v>325</v>
      </c>
      <c r="D375">
        <v>50000009</v>
      </c>
      <c r="E375" t="s">
        <v>702</v>
      </c>
      <c r="F375" t="s">
        <v>701</v>
      </c>
      <c r="G375" t="s">
        <v>331</v>
      </c>
      <c r="H375" t="s">
        <v>332</v>
      </c>
      <c r="I375">
        <v>0</v>
      </c>
      <c r="J375" s="9">
        <v>0.34</v>
      </c>
      <c r="K375" t="s">
        <v>328</v>
      </c>
    </row>
    <row r="376" spans="1:11" x14ac:dyDescent="0.3">
      <c r="A376">
        <v>2021</v>
      </c>
      <c r="B376" t="s">
        <v>324</v>
      </c>
      <c r="C376" t="s">
        <v>325</v>
      </c>
      <c r="D376">
        <v>50000009</v>
      </c>
      <c r="E376" t="s">
        <v>702</v>
      </c>
      <c r="F376" t="s">
        <v>701</v>
      </c>
      <c r="G376" t="s">
        <v>335</v>
      </c>
      <c r="H376" t="s">
        <v>336</v>
      </c>
      <c r="I376">
        <v>0</v>
      </c>
      <c r="J376" s="9">
        <v>0.09</v>
      </c>
    </row>
    <row r="377" spans="1:11" x14ac:dyDescent="0.3">
      <c r="A377">
        <v>2021</v>
      </c>
      <c r="B377" t="s">
        <v>324</v>
      </c>
      <c r="C377" t="s">
        <v>325</v>
      </c>
      <c r="D377">
        <v>50000031</v>
      </c>
      <c r="E377" t="s">
        <v>703</v>
      </c>
      <c r="F377" t="s">
        <v>701</v>
      </c>
      <c r="G377" t="s">
        <v>331</v>
      </c>
      <c r="H377" t="s">
        <v>339</v>
      </c>
      <c r="I377">
        <v>2</v>
      </c>
      <c r="J377" s="9">
        <v>2.08</v>
      </c>
      <c r="K377" t="s">
        <v>328</v>
      </c>
    </row>
    <row r="378" spans="1:11" x14ac:dyDescent="0.3">
      <c r="A378">
        <v>2021</v>
      </c>
      <c r="B378" t="s">
        <v>324</v>
      </c>
      <c r="C378" t="s">
        <v>325</v>
      </c>
      <c r="D378">
        <v>50000037</v>
      </c>
      <c r="E378" t="s">
        <v>704</v>
      </c>
      <c r="F378" t="s">
        <v>701</v>
      </c>
      <c r="G378" t="s">
        <v>331</v>
      </c>
      <c r="H378" t="s">
        <v>332</v>
      </c>
      <c r="I378">
        <v>0</v>
      </c>
      <c r="J378" s="9">
        <v>0.85</v>
      </c>
      <c r="K378" t="s">
        <v>328</v>
      </c>
    </row>
    <row r="379" spans="1:11" x14ac:dyDescent="0.3">
      <c r="A379">
        <v>2021</v>
      </c>
      <c r="B379" t="s">
        <v>324</v>
      </c>
      <c r="C379" t="s">
        <v>325</v>
      </c>
      <c r="D379">
        <v>220000026</v>
      </c>
      <c r="E379" t="s">
        <v>705</v>
      </c>
      <c r="F379" t="s">
        <v>706</v>
      </c>
      <c r="G379" t="s">
        <v>331</v>
      </c>
      <c r="H379" t="s">
        <v>339</v>
      </c>
      <c r="I379">
        <v>1</v>
      </c>
      <c r="J379" s="9">
        <v>1.38</v>
      </c>
      <c r="K379" t="s">
        <v>328</v>
      </c>
    </row>
    <row r="380" spans="1:11" x14ac:dyDescent="0.3">
      <c r="A380">
        <v>2021</v>
      </c>
      <c r="B380" t="s">
        <v>324</v>
      </c>
      <c r="C380" t="s">
        <v>325</v>
      </c>
      <c r="D380">
        <v>220000010</v>
      </c>
      <c r="E380" t="s">
        <v>707</v>
      </c>
      <c r="F380" t="s">
        <v>706</v>
      </c>
      <c r="G380" t="s">
        <v>331</v>
      </c>
      <c r="H380" t="s">
        <v>334</v>
      </c>
      <c r="I380">
        <v>0</v>
      </c>
      <c r="J380" s="9">
        <v>3.08</v>
      </c>
      <c r="K380" t="s">
        <v>326</v>
      </c>
    </row>
    <row r="381" spans="1:11" x14ac:dyDescent="0.3">
      <c r="A381">
        <v>2021</v>
      </c>
      <c r="B381" t="s">
        <v>324</v>
      </c>
      <c r="C381" t="s">
        <v>325</v>
      </c>
      <c r="D381">
        <v>220000009</v>
      </c>
      <c r="E381" t="s">
        <v>708</v>
      </c>
      <c r="F381" t="s">
        <v>706</v>
      </c>
      <c r="G381" t="s">
        <v>331</v>
      </c>
      <c r="H381" t="s">
        <v>332</v>
      </c>
      <c r="I381">
        <v>1</v>
      </c>
      <c r="J381" s="9">
        <v>2.5</v>
      </c>
      <c r="K381" t="s">
        <v>328</v>
      </c>
    </row>
    <row r="382" spans="1:11" x14ac:dyDescent="0.3">
      <c r="A382">
        <v>2021</v>
      </c>
      <c r="B382" t="s">
        <v>324</v>
      </c>
      <c r="C382" t="s">
        <v>325</v>
      </c>
      <c r="D382">
        <v>220000017</v>
      </c>
      <c r="E382" t="s">
        <v>709</v>
      </c>
      <c r="F382" t="s">
        <v>706</v>
      </c>
      <c r="G382" t="s">
        <v>331</v>
      </c>
      <c r="H382" t="s">
        <v>339</v>
      </c>
      <c r="I382">
        <v>0</v>
      </c>
      <c r="J382" s="9">
        <v>6.49</v>
      </c>
      <c r="K382" t="s">
        <v>326</v>
      </c>
    </row>
    <row r="383" spans="1:11" x14ac:dyDescent="0.3">
      <c r="A383">
        <v>2021</v>
      </c>
      <c r="B383" t="s">
        <v>324</v>
      </c>
      <c r="C383" t="s">
        <v>325</v>
      </c>
      <c r="D383">
        <v>220000007</v>
      </c>
      <c r="E383" t="s">
        <v>710</v>
      </c>
      <c r="F383" t="s">
        <v>706</v>
      </c>
      <c r="G383" t="s">
        <v>331</v>
      </c>
      <c r="H383" t="s">
        <v>334</v>
      </c>
      <c r="I383">
        <v>0</v>
      </c>
      <c r="J383" s="9">
        <v>1.0900000000000001</v>
      </c>
      <c r="K383" t="s">
        <v>328</v>
      </c>
    </row>
    <row r="384" spans="1:11" x14ac:dyDescent="0.3">
      <c r="A384">
        <v>2021</v>
      </c>
      <c r="B384" t="s">
        <v>324</v>
      </c>
      <c r="C384" t="s">
        <v>325</v>
      </c>
      <c r="D384">
        <v>220000025</v>
      </c>
      <c r="E384" t="s">
        <v>711</v>
      </c>
      <c r="F384" t="s">
        <v>706</v>
      </c>
      <c r="G384" t="s">
        <v>331</v>
      </c>
      <c r="H384" t="s">
        <v>339</v>
      </c>
      <c r="I384">
        <v>1</v>
      </c>
      <c r="J384" s="9">
        <v>2.39</v>
      </c>
      <c r="K384" t="s">
        <v>328</v>
      </c>
    </row>
    <row r="385" spans="1:11" x14ac:dyDescent="0.3">
      <c r="A385">
        <v>2021</v>
      </c>
      <c r="B385" t="s">
        <v>324</v>
      </c>
      <c r="C385" t="s">
        <v>325</v>
      </c>
      <c r="D385">
        <v>50000017</v>
      </c>
      <c r="E385" t="s">
        <v>712</v>
      </c>
      <c r="F385" t="s">
        <v>713</v>
      </c>
      <c r="G385" t="s">
        <v>331</v>
      </c>
      <c r="H385" t="s">
        <v>332</v>
      </c>
      <c r="I385">
        <v>0</v>
      </c>
      <c r="J385" s="9">
        <v>0.16</v>
      </c>
    </row>
    <row r="386" spans="1:11" x14ac:dyDescent="0.3">
      <c r="A386">
        <v>2021</v>
      </c>
      <c r="B386" t="s">
        <v>324</v>
      </c>
      <c r="C386" t="s">
        <v>325</v>
      </c>
      <c r="D386">
        <v>50000018</v>
      </c>
      <c r="E386" t="s">
        <v>714</v>
      </c>
      <c r="F386" t="s">
        <v>713</v>
      </c>
      <c r="G386" t="s">
        <v>331</v>
      </c>
      <c r="H386" t="s">
        <v>334</v>
      </c>
      <c r="I386">
        <v>0</v>
      </c>
      <c r="J386" s="9">
        <v>0.63</v>
      </c>
      <c r="K386" t="s">
        <v>328</v>
      </c>
    </row>
    <row r="387" spans="1:11" x14ac:dyDescent="0.3">
      <c r="A387">
        <v>2021</v>
      </c>
      <c r="B387" t="s">
        <v>324</v>
      </c>
      <c r="C387" t="s">
        <v>325</v>
      </c>
      <c r="D387">
        <v>50000021</v>
      </c>
      <c r="E387" t="s">
        <v>715</v>
      </c>
      <c r="F387" t="s">
        <v>713</v>
      </c>
      <c r="G387" t="s">
        <v>331</v>
      </c>
      <c r="H387" t="s">
        <v>339</v>
      </c>
      <c r="I387">
        <v>9</v>
      </c>
      <c r="J387" s="9">
        <v>7.1</v>
      </c>
      <c r="K387" t="s">
        <v>328</v>
      </c>
    </row>
    <row r="388" spans="1:11" x14ac:dyDescent="0.3">
      <c r="A388">
        <v>2021</v>
      </c>
      <c r="B388" t="s">
        <v>324</v>
      </c>
      <c r="C388" t="s">
        <v>325</v>
      </c>
      <c r="D388">
        <v>50000280</v>
      </c>
      <c r="E388" t="s">
        <v>716</v>
      </c>
      <c r="F388" t="s">
        <v>713</v>
      </c>
      <c r="G388" t="s">
        <v>331</v>
      </c>
      <c r="H388" t="s">
        <v>334</v>
      </c>
      <c r="I388">
        <v>15</v>
      </c>
      <c r="J388" s="9">
        <v>16.03</v>
      </c>
      <c r="K388" t="s">
        <v>328</v>
      </c>
    </row>
    <row r="389" spans="1:11" x14ac:dyDescent="0.3">
      <c r="A389">
        <v>2021</v>
      </c>
      <c r="B389" t="s">
        <v>324</v>
      </c>
      <c r="C389" t="s">
        <v>325</v>
      </c>
      <c r="D389">
        <v>50000280</v>
      </c>
      <c r="E389" t="s">
        <v>716</v>
      </c>
      <c r="F389" t="s">
        <v>713</v>
      </c>
      <c r="G389" t="s">
        <v>335</v>
      </c>
      <c r="H389" t="s">
        <v>336</v>
      </c>
      <c r="I389">
        <v>0</v>
      </c>
      <c r="J389" s="9">
        <v>0.19</v>
      </c>
    </row>
    <row r="390" spans="1:11" x14ac:dyDescent="0.3">
      <c r="A390">
        <v>2021</v>
      </c>
      <c r="B390" t="s">
        <v>324</v>
      </c>
      <c r="C390" t="s">
        <v>325</v>
      </c>
      <c r="D390">
        <v>50000030</v>
      </c>
      <c r="E390" t="s">
        <v>717</v>
      </c>
      <c r="F390" t="s">
        <v>713</v>
      </c>
      <c r="G390" t="s">
        <v>361</v>
      </c>
      <c r="H390" t="s">
        <v>362</v>
      </c>
      <c r="I390">
        <v>0</v>
      </c>
      <c r="J390" s="9">
        <v>0.01</v>
      </c>
    </row>
    <row r="391" spans="1:11" x14ac:dyDescent="0.3">
      <c r="A391">
        <v>2021</v>
      </c>
      <c r="B391" t="s">
        <v>324</v>
      </c>
      <c r="C391" t="s">
        <v>325</v>
      </c>
      <c r="D391">
        <v>70001351</v>
      </c>
      <c r="E391" t="s">
        <v>718</v>
      </c>
      <c r="F391" t="s">
        <v>719</v>
      </c>
      <c r="G391" t="s">
        <v>331</v>
      </c>
      <c r="H391" t="s">
        <v>353</v>
      </c>
      <c r="I391">
        <v>1</v>
      </c>
      <c r="J391" s="9">
        <v>10.9</v>
      </c>
      <c r="K391" t="s">
        <v>326</v>
      </c>
    </row>
    <row r="392" spans="1:11" x14ac:dyDescent="0.3">
      <c r="A392">
        <v>2021</v>
      </c>
      <c r="B392" t="s">
        <v>324</v>
      </c>
      <c r="C392" t="s">
        <v>325</v>
      </c>
      <c r="D392">
        <v>70000136</v>
      </c>
      <c r="E392" t="s">
        <v>720</v>
      </c>
      <c r="F392" t="s">
        <v>719</v>
      </c>
      <c r="G392" t="s">
        <v>331</v>
      </c>
      <c r="H392" t="s">
        <v>339</v>
      </c>
      <c r="I392">
        <v>1</v>
      </c>
      <c r="J392" s="9">
        <v>1.25</v>
      </c>
      <c r="K392" t="s">
        <v>328</v>
      </c>
    </row>
    <row r="393" spans="1:11" x14ac:dyDescent="0.3">
      <c r="A393">
        <v>2021</v>
      </c>
      <c r="B393" t="s">
        <v>324</v>
      </c>
      <c r="C393" t="s">
        <v>325</v>
      </c>
      <c r="D393">
        <v>70000136</v>
      </c>
      <c r="E393" t="s">
        <v>720</v>
      </c>
      <c r="F393" t="s">
        <v>719</v>
      </c>
      <c r="G393" t="s">
        <v>335</v>
      </c>
      <c r="H393" t="s">
        <v>336</v>
      </c>
      <c r="I393">
        <v>0</v>
      </c>
      <c r="J393" s="9">
        <v>0.1</v>
      </c>
    </row>
    <row r="394" spans="1:11" x14ac:dyDescent="0.3">
      <c r="A394">
        <v>2021</v>
      </c>
      <c r="B394" t="s">
        <v>324</v>
      </c>
      <c r="C394" t="s">
        <v>325</v>
      </c>
      <c r="D394">
        <v>70000153</v>
      </c>
      <c r="E394" t="s">
        <v>721</v>
      </c>
      <c r="F394" t="s">
        <v>719</v>
      </c>
      <c r="G394" t="s">
        <v>331</v>
      </c>
      <c r="H394" t="s">
        <v>353</v>
      </c>
      <c r="I394">
        <v>8</v>
      </c>
      <c r="J394" s="9">
        <v>6.87</v>
      </c>
      <c r="K394" t="s">
        <v>328</v>
      </c>
    </row>
    <row r="395" spans="1:11" x14ac:dyDescent="0.3">
      <c r="A395">
        <v>2021</v>
      </c>
      <c r="B395" t="s">
        <v>324</v>
      </c>
      <c r="C395" t="s">
        <v>325</v>
      </c>
      <c r="D395">
        <v>70000150</v>
      </c>
      <c r="E395" t="s">
        <v>722</v>
      </c>
      <c r="F395" t="s">
        <v>719</v>
      </c>
      <c r="G395" t="s">
        <v>331</v>
      </c>
      <c r="H395" t="s">
        <v>339</v>
      </c>
      <c r="I395">
        <v>3</v>
      </c>
      <c r="J395" s="9">
        <v>6.49</v>
      </c>
      <c r="K395" t="s">
        <v>328</v>
      </c>
    </row>
    <row r="396" spans="1:11" x14ac:dyDescent="0.3">
      <c r="A396">
        <v>2021</v>
      </c>
      <c r="B396" t="s">
        <v>324</v>
      </c>
      <c r="C396" t="s">
        <v>325</v>
      </c>
      <c r="D396">
        <v>70001355</v>
      </c>
      <c r="E396" t="s">
        <v>723</v>
      </c>
      <c r="F396" t="s">
        <v>719</v>
      </c>
      <c r="G396" t="s">
        <v>331</v>
      </c>
      <c r="H396" t="s">
        <v>353</v>
      </c>
      <c r="I396">
        <v>17</v>
      </c>
      <c r="J396" s="9">
        <v>20.03</v>
      </c>
      <c r="K396" t="s">
        <v>328</v>
      </c>
    </row>
    <row r="397" spans="1:11" x14ac:dyDescent="0.3">
      <c r="A397">
        <v>2021</v>
      </c>
      <c r="B397" t="s">
        <v>324</v>
      </c>
      <c r="C397" t="s">
        <v>325</v>
      </c>
      <c r="D397">
        <v>70001349</v>
      </c>
      <c r="E397" t="s">
        <v>724</v>
      </c>
      <c r="F397" t="s">
        <v>719</v>
      </c>
      <c r="G397" t="s">
        <v>331</v>
      </c>
      <c r="H397" t="s">
        <v>351</v>
      </c>
      <c r="I397">
        <v>20</v>
      </c>
      <c r="J397" s="9">
        <v>50.16</v>
      </c>
      <c r="K397" t="s">
        <v>326</v>
      </c>
    </row>
    <row r="398" spans="1:11" x14ac:dyDescent="0.3">
      <c r="A398">
        <v>2021</v>
      </c>
      <c r="B398" t="s">
        <v>324</v>
      </c>
      <c r="C398" t="s">
        <v>325</v>
      </c>
      <c r="D398">
        <v>70000154</v>
      </c>
      <c r="E398" t="s">
        <v>725</v>
      </c>
      <c r="F398" t="s">
        <v>719</v>
      </c>
      <c r="G398" t="s">
        <v>335</v>
      </c>
      <c r="H398" t="s">
        <v>336</v>
      </c>
      <c r="I398">
        <v>0</v>
      </c>
      <c r="J398" s="9">
        <v>0.06</v>
      </c>
    </row>
    <row r="399" spans="1:11" x14ac:dyDescent="0.3">
      <c r="A399">
        <v>2021</v>
      </c>
      <c r="B399" t="s">
        <v>324</v>
      </c>
      <c r="C399" t="s">
        <v>325</v>
      </c>
      <c r="D399">
        <v>70000146</v>
      </c>
      <c r="E399" t="s">
        <v>726</v>
      </c>
      <c r="F399" t="s">
        <v>719</v>
      </c>
      <c r="G399" t="s">
        <v>331</v>
      </c>
      <c r="H399" t="s">
        <v>334</v>
      </c>
      <c r="I399">
        <v>13</v>
      </c>
      <c r="J399" s="9">
        <v>7.32</v>
      </c>
      <c r="K399" t="s">
        <v>328</v>
      </c>
    </row>
    <row r="400" spans="1:11" x14ac:dyDescent="0.3">
      <c r="A400">
        <v>2021</v>
      </c>
      <c r="B400" t="s">
        <v>324</v>
      </c>
      <c r="C400" t="s">
        <v>325</v>
      </c>
      <c r="D400">
        <v>70000133</v>
      </c>
      <c r="E400" t="s">
        <v>727</v>
      </c>
      <c r="F400" t="s">
        <v>719</v>
      </c>
      <c r="G400" t="s">
        <v>331</v>
      </c>
      <c r="H400" t="s">
        <v>353</v>
      </c>
      <c r="I400">
        <v>8</v>
      </c>
      <c r="J400" s="9">
        <v>9.31</v>
      </c>
      <c r="K400" t="s">
        <v>328</v>
      </c>
    </row>
    <row r="401" spans="1:11" x14ac:dyDescent="0.3">
      <c r="A401">
        <v>2021</v>
      </c>
      <c r="B401" t="s">
        <v>324</v>
      </c>
      <c r="C401" t="s">
        <v>325</v>
      </c>
      <c r="D401">
        <v>70000149</v>
      </c>
      <c r="E401" t="s">
        <v>728</v>
      </c>
      <c r="F401" t="s">
        <v>719</v>
      </c>
      <c r="G401" t="s">
        <v>331</v>
      </c>
      <c r="H401" t="s">
        <v>334</v>
      </c>
      <c r="I401">
        <v>33</v>
      </c>
      <c r="J401" s="9">
        <v>25.99</v>
      </c>
      <c r="K401" t="s">
        <v>328</v>
      </c>
    </row>
    <row r="402" spans="1:11" x14ac:dyDescent="0.3">
      <c r="A402">
        <v>2021</v>
      </c>
      <c r="B402" t="s">
        <v>324</v>
      </c>
      <c r="C402" t="s">
        <v>325</v>
      </c>
      <c r="D402">
        <v>70000149</v>
      </c>
      <c r="E402" t="s">
        <v>728</v>
      </c>
      <c r="F402" t="s">
        <v>719</v>
      </c>
      <c r="G402" t="s">
        <v>335</v>
      </c>
      <c r="H402" t="s">
        <v>336</v>
      </c>
      <c r="I402">
        <v>2</v>
      </c>
      <c r="J402" s="9">
        <v>0.35</v>
      </c>
      <c r="K402" t="s">
        <v>328</v>
      </c>
    </row>
    <row r="403" spans="1:11" x14ac:dyDescent="0.3">
      <c r="A403">
        <v>2021</v>
      </c>
      <c r="B403" t="s">
        <v>324</v>
      </c>
      <c r="C403" t="s">
        <v>325</v>
      </c>
      <c r="D403">
        <v>70000635</v>
      </c>
      <c r="E403" t="s">
        <v>729</v>
      </c>
      <c r="F403" t="s">
        <v>719</v>
      </c>
      <c r="G403" t="s">
        <v>331</v>
      </c>
      <c r="H403" t="s">
        <v>332</v>
      </c>
      <c r="I403">
        <v>3</v>
      </c>
      <c r="J403" s="9">
        <v>1.85</v>
      </c>
      <c r="K403" t="s">
        <v>328</v>
      </c>
    </row>
    <row r="404" spans="1:11" x14ac:dyDescent="0.3">
      <c r="A404">
        <v>2021</v>
      </c>
      <c r="B404" t="s">
        <v>324</v>
      </c>
      <c r="C404" t="s">
        <v>325</v>
      </c>
      <c r="D404">
        <v>70001357</v>
      </c>
      <c r="E404" t="s">
        <v>730</v>
      </c>
      <c r="F404" t="s">
        <v>719</v>
      </c>
      <c r="G404" t="s">
        <v>331</v>
      </c>
      <c r="H404" t="s">
        <v>334</v>
      </c>
      <c r="I404">
        <v>90</v>
      </c>
      <c r="J404" s="9">
        <v>95.56</v>
      </c>
      <c r="K404" t="s">
        <v>328</v>
      </c>
    </row>
    <row r="405" spans="1:11" x14ac:dyDescent="0.3">
      <c r="A405">
        <v>2021</v>
      </c>
      <c r="B405" t="s">
        <v>324</v>
      </c>
      <c r="C405" t="s">
        <v>325</v>
      </c>
      <c r="D405">
        <v>70000139</v>
      </c>
      <c r="E405" t="s">
        <v>731</v>
      </c>
      <c r="F405" t="s">
        <v>732</v>
      </c>
      <c r="G405" t="s">
        <v>331</v>
      </c>
      <c r="H405" t="s">
        <v>339</v>
      </c>
      <c r="I405">
        <v>1</v>
      </c>
      <c r="J405" s="9">
        <v>6.49</v>
      </c>
      <c r="K405" t="s">
        <v>326</v>
      </c>
    </row>
    <row r="406" spans="1:11" x14ac:dyDescent="0.3">
      <c r="A406">
        <v>2021</v>
      </c>
      <c r="B406" t="s">
        <v>324</v>
      </c>
      <c r="C406" t="s">
        <v>325</v>
      </c>
      <c r="D406">
        <v>70000139</v>
      </c>
      <c r="E406" t="s">
        <v>731</v>
      </c>
      <c r="F406" t="s">
        <v>732</v>
      </c>
      <c r="G406" t="s">
        <v>335</v>
      </c>
      <c r="H406" t="s">
        <v>336</v>
      </c>
      <c r="I406">
        <v>1</v>
      </c>
      <c r="J406" s="9">
        <v>0.57999999999999996</v>
      </c>
      <c r="K406" t="s">
        <v>328</v>
      </c>
    </row>
    <row r="407" spans="1:11" x14ac:dyDescent="0.3">
      <c r="A407">
        <v>2021</v>
      </c>
      <c r="B407" t="s">
        <v>324</v>
      </c>
      <c r="C407" t="s">
        <v>325</v>
      </c>
      <c r="D407">
        <v>70000959</v>
      </c>
      <c r="E407" t="s">
        <v>733</v>
      </c>
      <c r="F407" t="s">
        <v>732</v>
      </c>
      <c r="G407" t="s">
        <v>331</v>
      </c>
      <c r="H407" t="s">
        <v>332</v>
      </c>
      <c r="I407">
        <v>0</v>
      </c>
      <c r="J407" s="9">
        <v>0.04</v>
      </c>
    </row>
    <row r="408" spans="1:11" x14ac:dyDescent="0.3">
      <c r="A408">
        <v>2021</v>
      </c>
      <c r="B408" t="s">
        <v>324</v>
      </c>
      <c r="C408" t="s">
        <v>325</v>
      </c>
      <c r="D408">
        <v>70000155</v>
      </c>
      <c r="E408" t="s">
        <v>734</v>
      </c>
      <c r="F408" t="s">
        <v>732</v>
      </c>
      <c r="G408" t="s">
        <v>331</v>
      </c>
      <c r="H408" t="s">
        <v>332</v>
      </c>
      <c r="I408">
        <v>3</v>
      </c>
      <c r="J408" s="9">
        <v>1.18</v>
      </c>
      <c r="K408" t="s">
        <v>328</v>
      </c>
    </row>
    <row r="409" spans="1:11" x14ac:dyDescent="0.3">
      <c r="A409">
        <v>2021</v>
      </c>
      <c r="B409" t="s">
        <v>324</v>
      </c>
      <c r="C409" t="s">
        <v>325</v>
      </c>
      <c r="D409">
        <v>230000009</v>
      </c>
      <c r="E409" t="s">
        <v>735</v>
      </c>
      <c r="F409" t="s">
        <v>736</v>
      </c>
      <c r="G409" t="s">
        <v>361</v>
      </c>
      <c r="H409" t="s">
        <v>362</v>
      </c>
      <c r="I409">
        <v>0</v>
      </c>
      <c r="J409" s="9">
        <v>0.01</v>
      </c>
    </row>
    <row r="410" spans="1:11" x14ac:dyDescent="0.3">
      <c r="A410">
        <v>2021</v>
      </c>
      <c r="B410" t="s">
        <v>324</v>
      </c>
      <c r="C410" t="s">
        <v>325</v>
      </c>
      <c r="D410">
        <v>230000010</v>
      </c>
      <c r="E410" t="s">
        <v>737</v>
      </c>
      <c r="F410" t="s">
        <v>736</v>
      </c>
      <c r="G410" t="s">
        <v>331</v>
      </c>
      <c r="H410" t="s">
        <v>353</v>
      </c>
      <c r="I410">
        <v>11</v>
      </c>
      <c r="J410" s="9">
        <v>10.8</v>
      </c>
      <c r="K410" t="s">
        <v>328</v>
      </c>
    </row>
    <row r="411" spans="1:11" x14ac:dyDescent="0.3">
      <c r="A411">
        <v>2021</v>
      </c>
      <c r="B411" t="s">
        <v>324</v>
      </c>
      <c r="C411" t="s">
        <v>325</v>
      </c>
      <c r="D411">
        <v>230000444</v>
      </c>
      <c r="E411" t="s">
        <v>738</v>
      </c>
      <c r="F411" t="s">
        <v>736</v>
      </c>
      <c r="G411" t="s">
        <v>331</v>
      </c>
      <c r="H411" t="s">
        <v>332</v>
      </c>
      <c r="I411">
        <v>0</v>
      </c>
      <c r="J411" s="9">
        <v>0</v>
      </c>
    </row>
    <row r="412" spans="1:11" x14ac:dyDescent="0.3">
      <c r="A412">
        <v>2021</v>
      </c>
      <c r="B412" t="s">
        <v>324</v>
      </c>
      <c r="C412" t="s">
        <v>325</v>
      </c>
      <c r="D412">
        <v>230000016</v>
      </c>
      <c r="E412" t="s">
        <v>739</v>
      </c>
      <c r="F412" t="s">
        <v>736</v>
      </c>
      <c r="G412" t="s">
        <v>331</v>
      </c>
      <c r="H412" t="s">
        <v>339</v>
      </c>
      <c r="I412">
        <v>5</v>
      </c>
      <c r="J412" s="9">
        <v>3.55</v>
      </c>
      <c r="K412" t="s">
        <v>328</v>
      </c>
    </row>
    <row r="413" spans="1:11" x14ac:dyDescent="0.3">
      <c r="A413">
        <v>2021</v>
      </c>
      <c r="B413" t="s">
        <v>324</v>
      </c>
      <c r="C413" t="s">
        <v>325</v>
      </c>
      <c r="D413">
        <v>230000422</v>
      </c>
      <c r="E413" t="s">
        <v>740</v>
      </c>
      <c r="F413" t="s">
        <v>736</v>
      </c>
      <c r="G413" t="s">
        <v>345</v>
      </c>
      <c r="H413" t="s">
        <v>346</v>
      </c>
      <c r="I413">
        <v>0</v>
      </c>
      <c r="J413" s="9">
        <v>8.49</v>
      </c>
      <c r="K413" t="s">
        <v>326</v>
      </c>
    </row>
    <row r="414" spans="1:11" x14ac:dyDescent="0.3">
      <c r="A414">
        <v>2021</v>
      </c>
      <c r="B414" t="s">
        <v>324</v>
      </c>
      <c r="C414" t="s">
        <v>325</v>
      </c>
      <c r="D414">
        <v>230000019</v>
      </c>
      <c r="E414" t="s">
        <v>741</v>
      </c>
      <c r="F414" t="s">
        <v>742</v>
      </c>
      <c r="G414" t="s">
        <v>361</v>
      </c>
      <c r="H414" t="s">
        <v>362</v>
      </c>
      <c r="I414">
        <v>0</v>
      </c>
      <c r="J414" s="9">
        <v>0.1</v>
      </c>
    </row>
    <row r="415" spans="1:11" x14ac:dyDescent="0.3">
      <c r="A415">
        <v>2021</v>
      </c>
      <c r="B415" t="s">
        <v>324</v>
      </c>
      <c r="C415" t="s">
        <v>325</v>
      </c>
      <c r="D415">
        <v>230000012</v>
      </c>
      <c r="E415" t="s">
        <v>743</v>
      </c>
      <c r="F415" t="s">
        <v>742</v>
      </c>
      <c r="G415" t="s">
        <v>361</v>
      </c>
      <c r="H415" t="s">
        <v>362</v>
      </c>
      <c r="I415">
        <v>0</v>
      </c>
      <c r="J415" s="9">
        <v>0.04</v>
      </c>
    </row>
    <row r="416" spans="1:11" x14ac:dyDescent="0.3">
      <c r="A416">
        <v>2021</v>
      </c>
      <c r="B416" t="s">
        <v>324</v>
      </c>
      <c r="C416" t="s">
        <v>325</v>
      </c>
      <c r="D416">
        <v>110000011</v>
      </c>
      <c r="E416" t="s">
        <v>744</v>
      </c>
      <c r="F416" t="s">
        <v>745</v>
      </c>
      <c r="G416" t="s">
        <v>331</v>
      </c>
      <c r="H416" t="s">
        <v>334</v>
      </c>
      <c r="I416">
        <v>4</v>
      </c>
      <c r="J416" s="9">
        <v>5.56</v>
      </c>
      <c r="K416" t="s">
        <v>328</v>
      </c>
    </row>
    <row r="417" spans="1:11" x14ac:dyDescent="0.3">
      <c r="A417">
        <v>2021</v>
      </c>
      <c r="B417" t="s">
        <v>324</v>
      </c>
      <c r="C417" t="s">
        <v>325</v>
      </c>
      <c r="D417">
        <v>110000011</v>
      </c>
      <c r="E417" t="s">
        <v>744</v>
      </c>
      <c r="F417" t="s">
        <v>745</v>
      </c>
      <c r="G417" t="s">
        <v>335</v>
      </c>
      <c r="H417" t="s">
        <v>336</v>
      </c>
      <c r="I417">
        <v>0</v>
      </c>
      <c r="J417" s="9">
        <v>0.18</v>
      </c>
    </row>
    <row r="418" spans="1:11" x14ac:dyDescent="0.3">
      <c r="A418">
        <v>2021</v>
      </c>
      <c r="B418" t="s">
        <v>324</v>
      </c>
      <c r="C418" t="s">
        <v>325</v>
      </c>
      <c r="D418">
        <v>630012364</v>
      </c>
      <c r="E418" t="s">
        <v>746</v>
      </c>
      <c r="F418" t="s">
        <v>745</v>
      </c>
      <c r="G418" t="s">
        <v>331</v>
      </c>
      <c r="H418" t="s">
        <v>334</v>
      </c>
      <c r="I418">
        <v>1</v>
      </c>
      <c r="J418" s="9">
        <v>4.6900000000000004</v>
      </c>
      <c r="K418" t="s">
        <v>328</v>
      </c>
    </row>
    <row r="419" spans="1:11" x14ac:dyDescent="0.3">
      <c r="A419">
        <v>2021</v>
      </c>
      <c r="B419" t="s">
        <v>324</v>
      </c>
      <c r="C419" t="s">
        <v>325</v>
      </c>
      <c r="D419">
        <v>110000010</v>
      </c>
      <c r="E419" t="s">
        <v>747</v>
      </c>
      <c r="F419" t="s">
        <v>745</v>
      </c>
      <c r="G419" t="s">
        <v>331</v>
      </c>
      <c r="H419" t="s">
        <v>339</v>
      </c>
      <c r="I419">
        <v>1</v>
      </c>
      <c r="J419" s="9">
        <v>5.83</v>
      </c>
      <c r="K419" t="s">
        <v>326</v>
      </c>
    </row>
    <row r="420" spans="1:11" x14ac:dyDescent="0.3">
      <c r="A420">
        <v>2021</v>
      </c>
      <c r="B420" t="s">
        <v>324</v>
      </c>
      <c r="C420" t="s">
        <v>325</v>
      </c>
      <c r="D420">
        <v>110000378</v>
      </c>
      <c r="E420" t="s">
        <v>748</v>
      </c>
      <c r="F420" t="s">
        <v>745</v>
      </c>
      <c r="G420" t="s">
        <v>331</v>
      </c>
      <c r="H420" t="s">
        <v>332</v>
      </c>
      <c r="I420">
        <v>1</v>
      </c>
      <c r="J420" s="9">
        <v>1.52</v>
      </c>
      <c r="K420" t="s">
        <v>328</v>
      </c>
    </row>
    <row r="421" spans="1:11" x14ac:dyDescent="0.3">
      <c r="A421">
        <v>2021</v>
      </c>
      <c r="B421" t="s">
        <v>324</v>
      </c>
      <c r="C421" t="s">
        <v>325</v>
      </c>
      <c r="D421">
        <v>110000068</v>
      </c>
      <c r="E421" t="s">
        <v>749</v>
      </c>
      <c r="F421" t="s">
        <v>745</v>
      </c>
      <c r="G421" t="s">
        <v>331</v>
      </c>
      <c r="H421" t="s">
        <v>332</v>
      </c>
      <c r="I421">
        <v>0</v>
      </c>
      <c r="J421" s="9">
        <v>2.06</v>
      </c>
      <c r="K421" t="s">
        <v>328</v>
      </c>
    </row>
    <row r="422" spans="1:11" x14ac:dyDescent="0.3">
      <c r="A422">
        <v>2021</v>
      </c>
      <c r="B422" t="s">
        <v>324</v>
      </c>
      <c r="C422" t="s">
        <v>325</v>
      </c>
      <c r="D422">
        <v>110000009</v>
      </c>
      <c r="E422" t="s">
        <v>750</v>
      </c>
      <c r="F422" t="s">
        <v>751</v>
      </c>
      <c r="G422" t="s">
        <v>361</v>
      </c>
      <c r="H422" t="s">
        <v>362</v>
      </c>
      <c r="I422">
        <v>0</v>
      </c>
      <c r="J422" s="9">
        <v>0.12</v>
      </c>
    </row>
    <row r="423" spans="1:11" x14ac:dyDescent="0.3">
      <c r="A423">
        <v>2021</v>
      </c>
      <c r="B423" t="s">
        <v>324</v>
      </c>
      <c r="C423" t="s">
        <v>325</v>
      </c>
      <c r="D423">
        <v>110000508</v>
      </c>
      <c r="E423" t="s">
        <v>752</v>
      </c>
      <c r="F423" t="s">
        <v>751</v>
      </c>
      <c r="G423" t="s">
        <v>331</v>
      </c>
      <c r="H423" t="s">
        <v>334</v>
      </c>
      <c r="I423">
        <v>3</v>
      </c>
      <c r="J423" s="9">
        <v>5.21</v>
      </c>
      <c r="K423" t="s">
        <v>328</v>
      </c>
    </row>
    <row r="424" spans="1:11" x14ac:dyDescent="0.3">
      <c r="A424">
        <v>2021</v>
      </c>
      <c r="B424" t="s">
        <v>324</v>
      </c>
      <c r="C424" t="s">
        <v>325</v>
      </c>
      <c r="D424">
        <v>110000040</v>
      </c>
      <c r="E424" t="s">
        <v>753</v>
      </c>
      <c r="F424" t="s">
        <v>751</v>
      </c>
      <c r="G424" t="s">
        <v>331</v>
      </c>
      <c r="H424" t="s">
        <v>332</v>
      </c>
      <c r="I424">
        <v>0</v>
      </c>
      <c r="J424" s="9">
        <v>0.93</v>
      </c>
      <c r="K424" t="s">
        <v>328</v>
      </c>
    </row>
    <row r="425" spans="1:11" x14ac:dyDescent="0.3">
      <c r="A425">
        <v>2021</v>
      </c>
      <c r="B425" t="s">
        <v>324</v>
      </c>
      <c r="C425" t="s">
        <v>325</v>
      </c>
      <c r="D425">
        <v>140001268</v>
      </c>
      <c r="E425" t="s">
        <v>754</v>
      </c>
      <c r="F425" t="s">
        <v>751</v>
      </c>
      <c r="G425" t="s">
        <v>331</v>
      </c>
      <c r="H425" t="s">
        <v>353</v>
      </c>
      <c r="I425">
        <v>9</v>
      </c>
      <c r="J425" s="9">
        <v>13.53</v>
      </c>
      <c r="K425" t="s">
        <v>328</v>
      </c>
    </row>
    <row r="426" spans="1:11" x14ac:dyDescent="0.3">
      <c r="A426">
        <v>2021</v>
      </c>
      <c r="B426" t="s">
        <v>324</v>
      </c>
      <c r="C426" t="s">
        <v>325</v>
      </c>
      <c r="D426">
        <v>140001268</v>
      </c>
      <c r="E426" t="s">
        <v>754</v>
      </c>
      <c r="F426" t="s">
        <v>751</v>
      </c>
      <c r="G426" t="s">
        <v>335</v>
      </c>
      <c r="H426" t="s">
        <v>336</v>
      </c>
      <c r="I426">
        <v>0</v>
      </c>
      <c r="J426" s="9">
        <v>7.0000000000000007E-2</v>
      </c>
    </row>
    <row r="427" spans="1:11" x14ac:dyDescent="0.3">
      <c r="A427">
        <v>2021</v>
      </c>
      <c r="B427" t="s">
        <v>324</v>
      </c>
      <c r="C427" t="s">
        <v>325</v>
      </c>
      <c r="D427">
        <v>110000038</v>
      </c>
      <c r="E427" t="s">
        <v>755</v>
      </c>
      <c r="F427" t="s">
        <v>751</v>
      </c>
      <c r="G427" t="s">
        <v>331</v>
      </c>
      <c r="H427" t="s">
        <v>332</v>
      </c>
      <c r="I427">
        <v>4</v>
      </c>
      <c r="J427" s="9">
        <v>2.78</v>
      </c>
      <c r="K427" t="s">
        <v>328</v>
      </c>
    </row>
    <row r="428" spans="1:11" x14ac:dyDescent="0.3">
      <c r="A428">
        <v>2021</v>
      </c>
      <c r="B428" t="s">
        <v>324</v>
      </c>
      <c r="C428" t="s">
        <v>325</v>
      </c>
      <c r="D428">
        <v>110000056</v>
      </c>
      <c r="E428" t="s">
        <v>756</v>
      </c>
      <c r="F428" t="s">
        <v>751</v>
      </c>
      <c r="G428" t="s">
        <v>331</v>
      </c>
      <c r="H428" t="s">
        <v>332</v>
      </c>
      <c r="I428">
        <v>0</v>
      </c>
      <c r="J428" s="9">
        <v>0.32</v>
      </c>
      <c r="K428" t="s">
        <v>328</v>
      </c>
    </row>
    <row r="429" spans="1:11" x14ac:dyDescent="0.3">
      <c r="A429">
        <v>2021</v>
      </c>
      <c r="B429" t="s">
        <v>324</v>
      </c>
      <c r="C429" t="s">
        <v>325</v>
      </c>
      <c r="D429">
        <v>110000007</v>
      </c>
      <c r="E429" t="s">
        <v>757</v>
      </c>
      <c r="F429" t="s">
        <v>751</v>
      </c>
      <c r="G429" t="s">
        <v>331</v>
      </c>
      <c r="H429" t="s">
        <v>332</v>
      </c>
      <c r="I429">
        <v>1</v>
      </c>
      <c r="J429" s="9">
        <v>3.77</v>
      </c>
      <c r="K429" t="s">
        <v>328</v>
      </c>
    </row>
    <row r="430" spans="1:11" x14ac:dyDescent="0.3">
      <c r="A430">
        <v>2021</v>
      </c>
      <c r="B430" t="s">
        <v>324</v>
      </c>
      <c r="C430" t="s">
        <v>325</v>
      </c>
      <c r="D430">
        <v>30000129</v>
      </c>
      <c r="E430" t="s">
        <v>758</v>
      </c>
      <c r="F430" t="s">
        <v>759</v>
      </c>
      <c r="G430" t="s">
        <v>345</v>
      </c>
      <c r="H430" t="s">
        <v>346</v>
      </c>
      <c r="I430">
        <v>3</v>
      </c>
      <c r="J430" s="9">
        <v>1.76</v>
      </c>
      <c r="K430" t="s">
        <v>328</v>
      </c>
    </row>
    <row r="431" spans="1:11" x14ac:dyDescent="0.3">
      <c r="A431">
        <v>2021</v>
      </c>
      <c r="B431" t="s">
        <v>324</v>
      </c>
      <c r="C431" t="s">
        <v>325</v>
      </c>
      <c r="D431">
        <v>30000122</v>
      </c>
      <c r="E431" t="s">
        <v>760</v>
      </c>
      <c r="F431" t="s">
        <v>759</v>
      </c>
      <c r="G431" t="s">
        <v>331</v>
      </c>
      <c r="H431" t="s">
        <v>334</v>
      </c>
      <c r="I431">
        <v>5</v>
      </c>
      <c r="J431" s="9">
        <v>11.18</v>
      </c>
      <c r="K431" t="s">
        <v>326</v>
      </c>
    </row>
    <row r="432" spans="1:11" x14ac:dyDescent="0.3">
      <c r="A432">
        <v>2021</v>
      </c>
      <c r="B432" t="s">
        <v>324</v>
      </c>
      <c r="C432" t="s">
        <v>325</v>
      </c>
      <c r="D432">
        <v>30000125</v>
      </c>
      <c r="E432" t="s">
        <v>761</v>
      </c>
      <c r="F432" t="s">
        <v>759</v>
      </c>
      <c r="G432" t="s">
        <v>331</v>
      </c>
      <c r="H432" t="s">
        <v>339</v>
      </c>
      <c r="I432">
        <v>7</v>
      </c>
      <c r="J432" s="9">
        <v>2.93</v>
      </c>
      <c r="K432" t="s">
        <v>327</v>
      </c>
    </row>
    <row r="433" spans="1:11" x14ac:dyDescent="0.3">
      <c r="A433">
        <v>2021</v>
      </c>
      <c r="B433" t="s">
        <v>324</v>
      </c>
      <c r="C433" t="s">
        <v>325</v>
      </c>
      <c r="D433">
        <v>630016419</v>
      </c>
      <c r="E433" t="s">
        <v>762</v>
      </c>
      <c r="F433" t="s">
        <v>759</v>
      </c>
      <c r="G433" t="s">
        <v>335</v>
      </c>
      <c r="H433" t="s">
        <v>359</v>
      </c>
      <c r="I433">
        <v>0</v>
      </c>
      <c r="J433" s="9">
        <v>0.32</v>
      </c>
      <c r="K433" t="s">
        <v>328</v>
      </c>
    </row>
    <row r="434" spans="1:11" x14ac:dyDescent="0.3">
      <c r="A434">
        <v>2021</v>
      </c>
      <c r="B434" t="s">
        <v>324</v>
      </c>
      <c r="C434" t="s">
        <v>325</v>
      </c>
      <c r="D434">
        <v>630011683</v>
      </c>
      <c r="E434" t="s">
        <v>763</v>
      </c>
      <c r="F434" t="s">
        <v>759</v>
      </c>
      <c r="G434" t="s">
        <v>331</v>
      </c>
      <c r="H434" t="s">
        <v>339</v>
      </c>
      <c r="I434">
        <v>9</v>
      </c>
      <c r="J434" s="9">
        <v>6.07</v>
      </c>
      <c r="K434" t="s">
        <v>328</v>
      </c>
    </row>
    <row r="435" spans="1:11" x14ac:dyDescent="0.3">
      <c r="A435">
        <v>2021</v>
      </c>
      <c r="B435" t="s">
        <v>324</v>
      </c>
      <c r="C435" t="s">
        <v>325</v>
      </c>
      <c r="D435">
        <v>30000123</v>
      </c>
      <c r="E435" t="s">
        <v>764</v>
      </c>
      <c r="F435" t="s">
        <v>759</v>
      </c>
      <c r="G435" t="s">
        <v>331</v>
      </c>
      <c r="H435" t="s">
        <v>353</v>
      </c>
      <c r="I435">
        <v>12</v>
      </c>
      <c r="J435" s="9">
        <v>13.14</v>
      </c>
      <c r="K435" t="s">
        <v>328</v>
      </c>
    </row>
    <row r="436" spans="1:11" x14ac:dyDescent="0.3">
      <c r="A436">
        <v>2021</v>
      </c>
      <c r="B436" t="s">
        <v>324</v>
      </c>
      <c r="C436" t="s">
        <v>325</v>
      </c>
      <c r="D436">
        <v>30000131</v>
      </c>
      <c r="E436" t="s">
        <v>765</v>
      </c>
      <c r="F436" t="s">
        <v>759</v>
      </c>
      <c r="G436" t="s">
        <v>331</v>
      </c>
      <c r="H436" t="s">
        <v>332</v>
      </c>
      <c r="I436">
        <v>0</v>
      </c>
      <c r="J436" s="9">
        <v>0.24</v>
      </c>
      <c r="K436" t="s">
        <v>328</v>
      </c>
    </row>
    <row r="437" spans="1:11" x14ac:dyDescent="0.3">
      <c r="A437">
        <v>2021</v>
      </c>
      <c r="B437" t="s">
        <v>324</v>
      </c>
      <c r="C437" t="s">
        <v>325</v>
      </c>
      <c r="D437">
        <v>30001661</v>
      </c>
      <c r="E437" t="s">
        <v>766</v>
      </c>
      <c r="F437" t="s">
        <v>759</v>
      </c>
      <c r="G437" t="s">
        <v>331</v>
      </c>
      <c r="H437" t="s">
        <v>332</v>
      </c>
      <c r="I437">
        <v>0</v>
      </c>
      <c r="J437" s="9">
        <v>0.01</v>
      </c>
    </row>
    <row r="438" spans="1:11" x14ac:dyDescent="0.3">
      <c r="A438">
        <v>2021</v>
      </c>
      <c r="B438" t="s">
        <v>324</v>
      </c>
      <c r="C438" t="s">
        <v>325</v>
      </c>
      <c r="D438">
        <v>630011844</v>
      </c>
      <c r="E438" t="s">
        <v>767</v>
      </c>
      <c r="F438" t="s">
        <v>768</v>
      </c>
      <c r="G438" t="s">
        <v>331</v>
      </c>
      <c r="H438" t="s">
        <v>332</v>
      </c>
      <c r="I438">
        <v>0</v>
      </c>
      <c r="J438" s="9">
        <v>0.01</v>
      </c>
    </row>
    <row r="439" spans="1:11" x14ac:dyDescent="0.3">
      <c r="A439">
        <v>2021</v>
      </c>
      <c r="B439" t="s">
        <v>324</v>
      </c>
      <c r="C439" t="s">
        <v>325</v>
      </c>
      <c r="D439">
        <v>230000020</v>
      </c>
      <c r="E439" t="s">
        <v>769</v>
      </c>
      <c r="F439" t="s">
        <v>770</v>
      </c>
      <c r="G439" t="s">
        <v>331</v>
      </c>
      <c r="H439" t="s">
        <v>334</v>
      </c>
      <c r="I439">
        <v>2</v>
      </c>
      <c r="J439" s="9">
        <v>1.46</v>
      </c>
      <c r="K439" t="s">
        <v>328</v>
      </c>
    </row>
    <row r="440" spans="1:11" x14ac:dyDescent="0.3">
      <c r="A440">
        <v>2021</v>
      </c>
      <c r="B440" t="s">
        <v>324</v>
      </c>
      <c r="C440" t="s">
        <v>325</v>
      </c>
      <c r="D440">
        <v>230000022</v>
      </c>
      <c r="E440" t="s">
        <v>771</v>
      </c>
      <c r="F440" t="s">
        <v>772</v>
      </c>
      <c r="G440" t="s">
        <v>361</v>
      </c>
      <c r="H440" t="s">
        <v>362</v>
      </c>
      <c r="I440">
        <v>0</v>
      </c>
      <c r="J440" s="9">
        <v>0.1</v>
      </c>
    </row>
    <row r="441" spans="1:11" x14ac:dyDescent="0.3">
      <c r="A441">
        <v>2021</v>
      </c>
      <c r="B441" t="s">
        <v>324</v>
      </c>
      <c r="C441" t="s">
        <v>325</v>
      </c>
      <c r="D441">
        <v>120001467</v>
      </c>
      <c r="E441" t="s">
        <v>773</v>
      </c>
      <c r="F441" t="s">
        <v>774</v>
      </c>
      <c r="G441" t="s">
        <v>331</v>
      </c>
      <c r="H441" t="s">
        <v>332</v>
      </c>
      <c r="I441">
        <v>0</v>
      </c>
      <c r="J441" s="9">
        <v>0.73</v>
      </c>
      <c r="K441" t="s">
        <v>328</v>
      </c>
    </row>
    <row r="442" spans="1:11" x14ac:dyDescent="0.3">
      <c r="A442">
        <v>2021</v>
      </c>
      <c r="B442" t="s">
        <v>324</v>
      </c>
      <c r="C442" t="s">
        <v>325</v>
      </c>
      <c r="D442">
        <v>120001444</v>
      </c>
      <c r="E442" t="s">
        <v>775</v>
      </c>
      <c r="F442" t="s">
        <v>774</v>
      </c>
      <c r="G442" t="s">
        <v>331</v>
      </c>
      <c r="H442" t="s">
        <v>334</v>
      </c>
      <c r="I442">
        <v>17</v>
      </c>
      <c r="J442" s="9">
        <v>17.62</v>
      </c>
      <c r="K442" t="s">
        <v>328</v>
      </c>
    </row>
    <row r="443" spans="1:11" x14ac:dyDescent="0.3">
      <c r="A443">
        <v>2021</v>
      </c>
      <c r="B443" t="s">
        <v>324</v>
      </c>
      <c r="C443" t="s">
        <v>325</v>
      </c>
      <c r="D443">
        <v>120001444</v>
      </c>
      <c r="E443" t="s">
        <v>776</v>
      </c>
      <c r="F443" t="s">
        <v>774</v>
      </c>
      <c r="G443" t="s">
        <v>335</v>
      </c>
      <c r="H443" t="s">
        <v>336</v>
      </c>
      <c r="J443" s="9"/>
    </row>
    <row r="444" spans="1:11" x14ac:dyDescent="0.3">
      <c r="A444">
        <v>2021</v>
      </c>
      <c r="B444" t="s">
        <v>324</v>
      </c>
      <c r="C444" t="s">
        <v>325</v>
      </c>
      <c r="D444">
        <v>170001874</v>
      </c>
      <c r="E444" t="s">
        <v>777</v>
      </c>
      <c r="F444" t="s">
        <v>774</v>
      </c>
      <c r="G444" t="s">
        <v>331</v>
      </c>
      <c r="H444" t="s">
        <v>332</v>
      </c>
      <c r="I444">
        <v>0</v>
      </c>
      <c r="J444" s="9">
        <v>0</v>
      </c>
    </row>
    <row r="445" spans="1:11" x14ac:dyDescent="0.3">
      <c r="A445">
        <v>2021</v>
      </c>
      <c r="B445" t="s">
        <v>324</v>
      </c>
      <c r="C445" t="s">
        <v>325</v>
      </c>
      <c r="D445">
        <v>120001464</v>
      </c>
      <c r="E445" t="s">
        <v>778</v>
      </c>
      <c r="F445" t="s">
        <v>774</v>
      </c>
      <c r="G445" t="s">
        <v>331</v>
      </c>
      <c r="H445" t="s">
        <v>339</v>
      </c>
      <c r="I445">
        <v>5</v>
      </c>
      <c r="J445" s="9">
        <v>1.92</v>
      </c>
      <c r="K445" t="s">
        <v>328</v>
      </c>
    </row>
    <row r="446" spans="1:11" x14ac:dyDescent="0.3">
      <c r="A446">
        <v>2021</v>
      </c>
      <c r="B446" t="s">
        <v>324</v>
      </c>
      <c r="C446" t="s">
        <v>325</v>
      </c>
      <c r="D446">
        <v>30001799</v>
      </c>
      <c r="E446" t="s">
        <v>779</v>
      </c>
      <c r="F446" t="s">
        <v>780</v>
      </c>
      <c r="G446" t="s">
        <v>331</v>
      </c>
      <c r="H446" t="s">
        <v>332</v>
      </c>
      <c r="I446">
        <v>4</v>
      </c>
      <c r="J446" s="9">
        <v>0.98</v>
      </c>
      <c r="K446" t="s">
        <v>327</v>
      </c>
    </row>
    <row r="447" spans="1:11" x14ac:dyDescent="0.3">
      <c r="A447">
        <v>2021</v>
      </c>
      <c r="B447" t="s">
        <v>324</v>
      </c>
      <c r="C447" t="s">
        <v>325</v>
      </c>
      <c r="D447">
        <v>50000455</v>
      </c>
      <c r="E447" t="s">
        <v>781</v>
      </c>
      <c r="F447" t="s">
        <v>782</v>
      </c>
      <c r="G447" t="s">
        <v>331</v>
      </c>
      <c r="H447" t="s">
        <v>339</v>
      </c>
      <c r="I447">
        <v>2</v>
      </c>
      <c r="J447" s="9">
        <v>4.01</v>
      </c>
      <c r="K447" t="s">
        <v>328</v>
      </c>
    </row>
    <row r="448" spans="1:11" x14ac:dyDescent="0.3">
      <c r="A448">
        <v>2021</v>
      </c>
      <c r="B448" t="s">
        <v>324</v>
      </c>
      <c r="C448" t="s">
        <v>325</v>
      </c>
      <c r="D448">
        <v>50000014</v>
      </c>
      <c r="E448" t="s">
        <v>783</v>
      </c>
      <c r="F448" t="s">
        <v>782</v>
      </c>
      <c r="G448" t="s">
        <v>331</v>
      </c>
      <c r="H448" t="s">
        <v>334</v>
      </c>
      <c r="I448">
        <v>13</v>
      </c>
      <c r="J448" s="9">
        <v>8.42</v>
      </c>
      <c r="K448" t="s">
        <v>328</v>
      </c>
    </row>
    <row r="449" spans="1:11" x14ac:dyDescent="0.3">
      <c r="A449">
        <v>2021</v>
      </c>
      <c r="B449" t="s">
        <v>324</v>
      </c>
      <c r="C449" t="s">
        <v>325</v>
      </c>
      <c r="D449">
        <v>50000020</v>
      </c>
      <c r="E449" t="s">
        <v>784</v>
      </c>
      <c r="F449" t="s">
        <v>782</v>
      </c>
      <c r="G449" t="s">
        <v>331</v>
      </c>
      <c r="H449" t="s">
        <v>353</v>
      </c>
      <c r="I449">
        <v>5</v>
      </c>
      <c r="J449" s="9">
        <v>9.39</v>
      </c>
      <c r="K449" t="s">
        <v>328</v>
      </c>
    </row>
    <row r="450" spans="1:11" x14ac:dyDescent="0.3">
      <c r="A450">
        <v>2021</v>
      </c>
      <c r="B450" t="s">
        <v>324</v>
      </c>
      <c r="C450" t="s">
        <v>325</v>
      </c>
      <c r="D450">
        <v>50000553</v>
      </c>
      <c r="E450" t="s">
        <v>785</v>
      </c>
      <c r="F450" t="s">
        <v>782</v>
      </c>
      <c r="G450" t="s">
        <v>335</v>
      </c>
      <c r="H450" t="s">
        <v>359</v>
      </c>
      <c r="I450">
        <v>0</v>
      </c>
      <c r="J450" s="9">
        <v>0.36</v>
      </c>
      <c r="K450" t="s">
        <v>328</v>
      </c>
    </row>
    <row r="451" spans="1:11" x14ac:dyDescent="0.3">
      <c r="A451">
        <v>2021</v>
      </c>
      <c r="B451" t="s">
        <v>324</v>
      </c>
      <c r="C451" t="s">
        <v>325</v>
      </c>
      <c r="D451">
        <v>50000023</v>
      </c>
      <c r="E451" t="s">
        <v>786</v>
      </c>
      <c r="F451" t="s">
        <v>782</v>
      </c>
      <c r="G451" t="s">
        <v>361</v>
      </c>
      <c r="H451" t="s">
        <v>362</v>
      </c>
      <c r="I451">
        <v>0</v>
      </c>
      <c r="J451" s="9">
        <v>0</v>
      </c>
    </row>
    <row r="452" spans="1:11" x14ac:dyDescent="0.3">
      <c r="A452">
        <v>2021</v>
      </c>
      <c r="B452" t="s">
        <v>324</v>
      </c>
      <c r="C452" t="s">
        <v>325</v>
      </c>
      <c r="D452">
        <v>50000026</v>
      </c>
      <c r="E452" t="s">
        <v>787</v>
      </c>
      <c r="F452" t="s">
        <v>782</v>
      </c>
      <c r="G452" t="s">
        <v>331</v>
      </c>
      <c r="H452" t="s">
        <v>332</v>
      </c>
      <c r="I452">
        <v>4</v>
      </c>
      <c r="J452" s="9">
        <v>1.58</v>
      </c>
      <c r="K452" t="s">
        <v>328</v>
      </c>
    </row>
    <row r="453" spans="1:11" x14ac:dyDescent="0.3">
      <c r="A453">
        <v>2021</v>
      </c>
      <c r="B453" t="s">
        <v>324</v>
      </c>
      <c r="C453" t="s">
        <v>325</v>
      </c>
      <c r="D453">
        <v>50000035</v>
      </c>
      <c r="E453" t="s">
        <v>788</v>
      </c>
      <c r="F453" t="s">
        <v>782</v>
      </c>
      <c r="G453" t="s">
        <v>331</v>
      </c>
      <c r="H453" t="s">
        <v>353</v>
      </c>
      <c r="I453">
        <v>5</v>
      </c>
      <c r="J453" s="9">
        <v>4.22</v>
      </c>
      <c r="K453" t="s">
        <v>328</v>
      </c>
    </row>
    <row r="454" spans="1:11" x14ac:dyDescent="0.3">
      <c r="A454">
        <v>2021</v>
      </c>
      <c r="B454" t="s">
        <v>324</v>
      </c>
      <c r="C454" t="s">
        <v>325</v>
      </c>
      <c r="D454">
        <v>50000035</v>
      </c>
      <c r="E454" t="s">
        <v>788</v>
      </c>
      <c r="F454" t="s">
        <v>782</v>
      </c>
      <c r="G454" t="s">
        <v>335</v>
      </c>
      <c r="H454" t="s">
        <v>336</v>
      </c>
      <c r="I454">
        <v>0</v>
      </c>
      <c r="J454" s="9">
        <v>0.15</v>
      </c>
    </row>
    <row r="455" spans="1:11" x14ac:dyDescent="0.3">
      <c r="A455">
        <v>2021</v>
      </c>
      <c r="B455" t="s">
        <v>324</v>
      </c>
      <c r="C455" t="s">
        <v>325</v>
      </c>
      <c r="D455">
        <v>50001468</v>
      </c>
      <c r="E455" t="s">
        <v>789</v>
      </c>
      <c r="F455" t="s">
        <v>782</v>
      </c>
      <c r="G455" t="s">
        <v>331</v>
      </c>
      <c r="H455" t="s">
        <v>332</v>
      </c>
      <c r="I455">
        <v>0</v>
      </c>
      <c r="J455" s="9">
        <v>0.01</v>
      </c>
    </row>
    <row r="456" spans="1:11" x14ac:dyDescent="0.3">
      <c r="A456">
        <v>2021</v>
      </c>
      <c r="B456" t="s">
        <v>324</v>
      </c>
      <c r="C456" t="s">
        <v>325</v>
      </c>
      <c r="D456">
        <v>50000039</v>
      </c>
      <c r="E456" t="s">
        <v>790</v>
      </c>
      <c r="F456" t="s">
        <v>782</v>
      </c>
      <c r="G456" t="s">
        <v>331</v>
      </c>
      <c r="H456" t="s">
        <v>334</v>
      </c>
      <c r="I456">
        <v>5</v>
      </c>
      <c r="J456" s="9">
        <v>2.81</v>
      </c>
      <c r="K456" t="s">
        <v>328</v>
      </c>
    </row>
    <row r="457" spans="1:11" x14ac:dyDescent="0.3">
      <c r="A457">
        <v>2021</v>
      </c>
      <c r="B457" t="s">
        <v>324</v>
      </c>
      <c r="C457" t="s">
        <v>325</v>
      </c>
      <c r="D457">
        <v>630010957</v>
      </c>
      <c r="E457" t="s">
        <v>791</v>
      </c>
      <c r="F457" t="s">
        <v>782</v>
      </c>
      <c r="G457" t="s">
        <v>331</v>
      </c>
      <c r="H457" t="s">
        <v>334</v>
      </c>
      <c r="I457">
        <v>0</v>
      </c>
      <c r="J457" s="9">
        <v>0.34</v>
      </c>
      <c r="K457" t="s">
        <v>328</v>
      </c>
    </row>
    <row r="458" spans="1:11" x14ac:dyDescent="0.3">
      <c r="A458">
        <v>2021</v>
      </c>
      <c r="B458" t="s">
        <v>324</v>
      </c>
      <c r="C458" t="s">
        <v>325</v>
      </c>
      <c r="D458">
        <v>30000149</v>
      </c>
      <c r="E458" t="s">
        <v>792</v>
      </c>
      <c r="F458" t="s">
        <v>793</v>
      </c>
      <c r="G458" t="s">
        <v>331</v>
      </c>
      <c r="H458" t="s">
        <v>332</v>
      </c>
      <c r="I458">
        <v>1</v>
      </c>
      <c r="J458" s="9">
        <v>0.55000000000000004</v>
      </c>
      <c r="K458" t="s">
        <v>328</v>
      </c>
    </row>
    <row r="459" spans="1:11" x14ac:dyDescent="0.3">
      <c r="A459">
        <v>2021</v>
      </c>
      <c r="B459" t="s">
        <v>324</v>
      </c>
      <c r="C459" t="s">
        <v>325</v>
      </c>
      <c r="D459">
        <v>30000146</v>
      </c>
      <c r="E459" t="s">
        <v>794</v>
      </c>
      <c r="F459" t="s">
        <v>793</v>
      </c>
      <c r="G459" t="s">
        <v>331</v>
      </c>
      <c r="H459" t="s">
        <v>332</v>
      </c>
      <c r="I459">
        <v>4</v>
      </c>
      <c r="J459" s="9">
        <v>1.79</v>
      </c>
      <c r="K459" t="s">
        <v>328</v>
      </c>
    </row>
    <row r="460" spans="1:11" x14ac:dyDescent="0.3">
      <c r="A460">
        <v>2021</v>
      </c>
      <c r="B460" t="s">
        <v>324</v>
      </c>
      <c r="C460" t="s">
        <v>325</v>
      </c>
      <c r="D460">
        <v>230000261</v>
      </c>
      <c r="E460" t="s">
        <v>795</v>
      </c>
      <c r="F460" t="s">
        <v>796</v>
      </c>
      <c r="G460" t="s">
        <v>331</v>
      </c>
      <c r="H460" t="s">
        <v>339</v>
      </c>
      <c r="I460">
        <v>5</v>
      </c>
      <c r="J460" s="9">
        <v>7.04</v>
      </c>
      <c r="K460" t="s">
        <v>328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3846A-C7B6-4E2F-8ED3-ED20616AD91B}">
  <dimension ref="A3:B403"/>
  <sheetViews>
    <sheetView showRowColHeaders="0" topLeftCell="A16" workbookViewId="0">
      <selection activeCell="K16" sqref="K16"/>
    </sheetView>
  </sheetViews>
  <sheetFormatPr defaultRowHeight="14.4" x14ac:dyDescent="0.3"/>
  <cols>
    <col min="1" max="1" width="54" bestFit="1" customWidth="1"/>
    <col min="2" max="2" width="24.88671875" bestFit="1" customWidth="1"/>
  </cols>
  <sheetData>
    <row r="3" spans="1:2" x14ac:dyDescent="0.3">
      <c r="A3" s="10" t="s">
        <v>317</v>
      </c>
      <c r="B3" t="s">
        <v>801</v>
      </c>
    </row>
    <row r="4" spans="1:2" x14ac:dyDescent="0.3">
      <c r="A4" s="7" t="s">
        <v>795</v>
      </c>
      <c r="B4">
        <v>5</v>
      </c>
    </row>
    <row r="5" spans="1:2" x14ac:dyDescent="0.3">
      <c r="A5" s="7" t="s">
        <v>407</v>
      </c>
      <c r="B5">
        <v>20</v>
      </c>
    </row>
    <row r="6" spans="1:2" x14ac:dyDescent="0.3">
      <c r="A6" s="7" t="s">
        <v>422</v>
      </c>
      <c r="B6">
        <v>0</v>
      </c>
    </row>
    <row r="7" spans="1:2" x14ac:dyDescent="0.3">
      <c r="A7" s="7" t="s">
        <v>409</v>
      </c>
      <c r="B7">
        <v>3</v>
      </c>
    </row>
    <row r="8" spans="1:2" x14ac:dyDescent="0.3">
      <c r="A8" s="7" t="s">
        <v>427</v>
      </c>
      <c r="B8">
        <v>7</v>
      </c>
    </row>
    <row r="9" spans="1:2" x14ac:dyDescent="0.3">
      <c r="A9" s="7" t="s">
        <v>420</v>
      </c>
      <c r="B9">
        <v>8</v>
      </c>
    </row>
    <row r="10" spans="1:2" x14ac:dyDescent="0.3">
      <c r="A10" s="7" t="s">
        <v>530</v>
      </c>
      <c r="B10">
        <v>0</v>
      </c>
    </row>
    <row r="11" spans="1:2" x14ac:dyDescent="0.3">
      <c r="A11" s="7" t="s">
        <v>692</v>
      </c>
      <c r="B11">
        <v>4</v>
      </c>
    </row>
    <row r="12" spans="1:2" x14ac:dyDescent="0.3">
      <c r="A12" s="7" t="s">
        <v>532</v>
      </c>
      <c r="B12">
        <v>0</v>
      </c>
    </row>
    <row r="13" spans="1:2" x14ac:dyDescent="0.3">
      <c r="A13" s="7" t="s">
        <v>382</v>
      </c>
      <c r="B13">
        <v>0</v>
      </c>
    </row>
    <row r="14" spans="1:2" x14ac:dyDescent="0.3">
      <c r="A14" s="7" t="s">
        <v>384</v>
      </c>
      <c r="B14">
        <v>1</v>
      </c>
    </row>
    <row r="15" spans="1:2" x14ac:dyDescent="0.3">
      <c r="A15" s="7" t="s">
        <v>781</v>
      </c>
      <c r="B15">
        <v>2</v>
      </c>
    </row>
    <row r="16" spans="1:2" x14ac:dyDescent="0.3">
      <c r="A16" s="7" t="s">
        <v>779</v>
      </c>
      <c r="B16">
        <v>4</v>
      </c>
    </row>
    <row r="17" spans="1:2" x14ac:dyDescent="0.3">
      <c r="A17" s="7" t="s">
        <v>547</v>
      </c>
      <c r="B17">
        <v>0</v>
      </c>
    </row>
    <row r="18" spans="1:2" x14ac:dyDescent="0.3">
      <c r="A18" s="7" t="s">
        <v>410</v>
      </c>
      <c r="B18">
        <v>1</v>
      </c>
    </row>
    <row r="19" spans="1:2" x14ac:dyDescent="0.3">
      <c r="A19" s="7" t="s">
        <v>773</v>
      </c>
      <c r="B19">
        <v>0</v>
      </c>
    </row>
    <row r="20" spans="1:2" x14ac:dyDescent="0.3">
      <c r="A20" s="7" t="s">
        <v>533</v>
      </c>
      <c r="B20">
        <v>3</v>
      </c>
    </row>
    <row r="21" spans="1:2" x14ac:dyDescent="0.3">
      <c r="A21" s="7" t="s">
        <v>429</v>
      </c>
      <c r="B21">
        <v>5</v>
      </c>
    </row>
    <row r="22" spans="1:2" x14ac:dyDescent="0.3">
      <c r="A22" s="7" t="s">
        <v>553</v>
      </c>
      <c r="B22">
        <v>9</v>
      </c>
    </row>
    <row r="23" spans="1:2" x14ac:dyDescent="0.3">
      <c r="A23" s="7" t="s">
        <v>705</v>
      </c>
      <c r="B23">
        <v>1</v>
      </c>
    </row>
    <row r="24" spans="1:2" x14ac:dyDescent="0.3">
      <c r="A24" s="7" t="s">
        <v>329</v>
      </c>
      <c r="B24">
        <v>2</v>
      </c>
    </row>
    <row r="25" spans="1:2" x14ac:dyDescent="0.3">
      <c r="A25" s="7" t="s">
        <v>430</v>
      </c>
      <c r="B25">
        <v>1</v>
      </c>
    </row>
    <row r="26" spans="1:2" x14ac:dyDescent="0.3">
      <c r="A26" s="7" t="s">
        <v>333</v>
      </c>
      <c r="B26">
        <v>7</v>
      </c>
    </row>
    <row r="27" spans="1:2" x14ac:dyDescent="0.3">
      <c r="A27" s="7" t="s">
        <v>337</v>
      </c>
      <c r="B27">
        <v>4</v>
      </c>
    </row>
    <row r="28" spans="1:2" x14ac:dyDescent="0.3">
      <c r="A28" s="7" t="s">
        <v>655</v>
      </c>
      <c r="B28">
        <v>1</v>
      </c>
    </row>
    <row r="29" spans="1:2" x14ac:dyDescent="0.3">
      <c r="A29" s="7" t="s">
        <v>555</v>
      </c>
      <c r="B29">
        <v>2</v>
      </c>
    </row>
    <row r="30" spans="1:2" x14ac:dyDescent="0.3">
      <c r="A30" s="7" t="s">
        <v>431</v>
      </c>
      <c r="B30">
        <v>32</v>
      </c>
    </row>
    <row r="31" spans="1:2" x14ac:dyDescent="0.3">
      <c r="A31" s="7" t="s">
        <v>629</v>
      </c>
      <c r="B31">
        <v>21</v>
      </c>
    </row>
    <row r="32" spans="1:2" x14ac:dyDescent="0.3">
      <c r="A32" s="7" t="s">
        <v>411</v>
      </c>
      <c r="B32">
        <v>12</v>
      </c>
    </row>
    <row r="33" spans="1:2" x14ac:dyDescent="0.3">
      <c r="A33" s="7" t="s">
        <v>412</v>
      </c>
      <c r="B33">
        <v>10</v>
      </c>
    </row>
    <row r="34" spans="1:2" x14ac:dyDescent="0.3">
      <c r="A34" s="7" t="s">
        <v>631</v>
      </c>
      <c r="B34">
        <v>0</v>
      </c>
    </row>
    <row r="35" spans="1:2" x14ac:dyDescent="0.3">
      <c r="A35" s="7" t="s">
        <v>425</v>
      </c>
      <c r="B35">
        <v>0</v>
      </c>
    </row>
    <row r="36" spans="1:2" x14ac:dyDescent="0.3">
      <c r="A36" s="7" t="s">
        <v>432</v>
      </c>
      <c r="B36">
        <v>12</v>
      </c>
    </row>
    <row r="37" spans="1:2" x14ac:dyDescent="0.3">
      <c r="A37" s="7" t="s">
        <v>632</v>
      </c>
      <c r="B37">
        <v>2</v>
      </c>
    </row>
    <row r="38" spans="1:2" x14ac:dyDescent="0.3">
      <c r="A38" s="7" t="s">
        <v>379</v>
      </c>
      <c r="B38">
        <v>0</v>
      </c>
    </row>
    <row r="39" spans="1:2" x14ac:dyDescent="0.3">
      <c r="A39" s="7" t="s">
        <v>633</v>
      </c>
      <c r="B39">
        <v>0</v>
      </c>
    </row>
    <row r="40" spans="1:2" x14ac:dyDescent="0.3">
      <c r="A40" s="7" t="s">
        <v>433</v>
      </c>
      <c r="B40">
        <v>0</v>
      </c>
    </row>
    <row r="41" spans="1:2" x14ac:dyDescent="0.3">
      <c r="A41" s="7" t="s">
        <v>434</v>
      </c>
      <c r="B41">
        <v>4</v>
      </c>
    </row>
    <row r="42" spans="1:2" x14ac:dyDescent="0.3">
      <c r="A42" s="7" t="s">
        <v>678</v>
      </c>
      <c r="B42">
        <v>4</v>
      </c>
    </row>
    <row r="43" spans="1:2" x14ac:dyDescent="0.3">
      <c r="A43" s="7" t="s">
        <v>680</v>
      </c>
      <c r="B43">
        <v>2</v>
      </c>
    </row>
    <row r="44" spans="1:2" x14ac:dyDescent="0.3">
      <c r="A44" s="7" t="s">
        <v>681</v>
      </c>
      <c r="B44">
        <v>11</v>
      </c>
    </row>
    <row r="45" spans="1:2" x14ac:dyDescent="0.3">
      <c r="A45" s="7" t="s">
        <v>435</v>
      </c>
      <c r="B45">
        <v>1</v>
      </c>
    </row>
    <row r="46" spans="1:2" x14ac:dyDescent="0.3">
      <c r="A46" s="7" t="s">
        <v>436</v>
      </c>
      <c r="B46">
        <v>0</v>
      </c>
    </row>
    <row r="47" spans="1:2" x14ac:dyDescent="0.3">
      <c r="A47" s="7" t="s">
        <v>437</v>
      </c>
      <c r="B47">
        <v>0</v>
      </c>
    </row>
    <row r="48" spans="1:2" x14ac:dyDescent="0.3">
      <c r="A48" s="7" t="s">
        <v>438</v>
      </c>
      <c r="B48">
        <v>0</v>
      </c>
    </row>
    <row r="49" spans="1:2" x14ac:dyDescent="0.3">
      <c r="A49" s="7" t="s">
        <v>439</v>
      </c>
      <c r="B49">
        <v>0</v>
      </c>
    </row>
    <row r="50" spans="1:2" x14ac:dyDescent="0.3">
      <c r="A50" s="7" t="s">
        <v>440</v>
      </c>
      <c r="B50">
        <v>65</v>
      </c>
    </row>
    <row r="51" spans="1:2" x14ac:dyDescent="0.3">
      <c r="A51" s="7" t="s">
        <v>441</v>
      </c>
      <c r="B51">
        <v>4</v>
      </c>
    </row>
    <row r="52" spans="1:2" x14ac:dyDescent="0.3">
      <c r="A52" s="7" t="s">
        <v>758</v>
      </c>
      <c r="B52">
        <v>3</v>
      </c>
    </row>
    <row r="53" spans="1:2" x14ac:dyDescent="0.3">
      <c r="A53" s="7" t="s">
        <v>556</v>
      </c>
      <c r="B53">
        <v>0</v>
      </c>
    </row>
    <row r="54" spans="1:2" x14ac:dyDescent="0.3">
      <c r="A54" s="7" t="s">
        <v>557</v>
      </c>
      <c r="B54">
        <v>0</v>
      </c>
    </row>
    <row r="55" spans="1:2" x14ac:dyDescent="0.3">
      <c r="A55" s="7" t="s">
        <v>442</v>
      </c>
      <c r="B55">
        <v>41</v>
      </c>
    </row>
    <row r="56" spans="1:2" x14ac:dyDescent="0.3">
      <c r="A56" s="7" t="s">
        <v>558</v>
      </c>
      <c r="B56">
        <v>16</v>
      </c>
    </row>
    <row r="57" spans="1:2" x14ac:dyDescent="0.3">
      <c r="A57" s="7" t="s">
        <v>682</v>
      </c>
      <c r="B57">
        <v>0</v>
      </c>
    </row>
    <row r="58" spans="1:2" x14ac:dyDescent="0.3">
      <c r="A58" s="7" t="s">
        <v>634</v>
      </c>
      <c r="B58">
        <v>1</v>
      </c>
    </row>
    <row r="59" spans="1:2" x14ac:dyDescent="0.3">
      <c r="A59" s="7" t="s">
        <v>443</v>
      </c>
      <c r="B59">
        <v>56</v>
      </c>
    </row>
    <row r="60" spans="1:2" x14ac:dyDescent="0.3">
      <c r="A60" s="7" t="s">
        <v>385</v>
      </c>
      <c r="B60">
        <v>20</v>
      </c>
    </row>
    <row r="61" spans="1:2" x14ac:dyDescent="0.3">
      <c r="A61" s="7" t="s">
        <v>386</v>
      </c>
      <c r="B61">
        <v>0</v>
      </c>
    </row>
    <row r="62" spans="1:2" x14ac:dyDescent="0.3">
      <c r="A62" s="7" t="s">
        <v>444</v>
      </c>
      <c r="B62">
        <v>2</v>
      </c>
    </row>
    <row r="63" spans="1:2" x14ac:dyDescent="0.3">
      <c r="A63" s="7" t="s">
        <v>559</v>
      </c>
      <c r="B63">
        <v>0</v>
      </c>
    </row>
    <row r="64" spans="1:2" x14ac:dyDescent="0.3">
      <c r="A64" s="7" t="s">
        <v>445</v>
      </c>
      <c r="B64">
        <v>1</v>
      </c>
    </row>
    <row r="65" spans="1:2" x14ac:dyDescent="0.3">
      <c r="A65" s="7" t="s">
        <v>635</v>
      </c>
      <c r="B65">
        <v>0</v>
      </c>
    </row>
    <row r="66" spans="1:2" x14ac:dyDescent="0.3">
      <c r="A66" s="7" t="s">
        <v>366</v>
      </c>
      <c r="B66">
        <v>0</v>
      </c>
    </row>
    <row r="67" spans="1:2" x14ac:dyDescent="0.3">
      <c r="A67" s="7" t="s">
        <v>446</v>
      </c>
      <c r="B67">
        <v>1</v>
      </c>
    </row>
    <row r="68" spans="1:2" x14ac:dyDescent="0.3">
      <c r="A68" s="7" t="s">
        <v>636</v>
      </c>
      <c r="B68">
        <v>12</v>
      </c>
    </row>
    <row r="69" spans="1:2" x14ac:dyDescent="0.3">
      <c r="A69" s="7" t="s">
        <v>542</v>
      </c>
      <c r="B69">
        <v>10</v>
      </c>
    </row>
    <row r="70" spans="1:2" x14ac:dyDescent="0.3">
      <c r="A70" s="7" t="s">
        <v>783</v>
      </c>
      <c r="B70">
        <v>13</v>
      </c>
    </row>
    <row r="71" spans="1:2" x14ac:dyDescent="0.3">
      <c r="A71" s="7" t="s">
        <v>387</v>
      </c>
      <c r="B71">
        <v>74</v>
      </c>
    </row>
    <row r="72" spans="1:2" x14ac:dyDescent="0.3">
      <c r="A72" s="7" t="s">
        <v>368</v>
      </c>
      <c r="B72">
        <v>0</v>
      </c>
    </row>
    <row r="73" spans="1:2" x14ac:dyDescent="0.3">
      <c r="A73" s="7" t="s">
        <v>595</v>
      </c>
      <c r="B73">
        <v>3</v>
      </c>
    </row>
    <row r="74" spans="1:2" x14ac:dyDescent="0.3">
      <c r="A74" s="7" t="s">
        <v>694</v>
      </c>
      <c r="B74">
        <v>5</v>
      </c>
    </row>
    <row r="75" spans="1:2" x14ac:dyDescent="0.3">
      <c r="A75" s="7" t="s">
        <v>597</v>
      </c>
      <c r="B75">
        <v>18</v>
      </c>
    </row>
    <row r="76" spans="1:2" x14ac:dyDescent="0.3">
      <c r="A76" s="7" t="s">
        <v>637</v>
      </c>
      <c r="B76">
        <v>1</v>
      </c>
    </row>
    <row r="77" spans="1:2" x14ac:dyDescent="0.3">
      <c r="A77" s="7" t="s">
        <v>447</v>
      </c>
      <c r="B77">
        <v>0</v>
      </c>
    </row>
    <row r="78" spans="1:2" x14ac:dyDescent="0.3">
      <c r="A78" s="7" t="s">
        <v>695</v>
      </c>
      <c r="B78">
        <v>11</v>
      </c>
    </row>
    <row r="79" spans="1:2" x14ac:dyDescent="0.3">
      <c r="A79" s="7" t="s">
        <v>598</v>
      </c>
      <c r="B79">
        <v>3</v>
      </c>
    </row>
    <row r="80" spans="1:2" x14ac:dyDescent="0.3">
      <c r="A80" s="7" t="s">
        <v>760</v>
      </c>
      <c r="B80">
        <v>5</v>
      </c>
    </row>
    <row r="81" spans="1:2" x14ac:dyDescent="0.3">
      <c r="A81" s="7" t="s">
        <v>731</v>
      </c>
      <c r="B81">
        <v>2</v>
      </c>
    </row>
    <row r="82" spans="1:2" x14ac:dyDescent="0.3">
      <c r="A82" s="7" t="s">
        <v>448</v>
      </c>
      <c r="B82">
        <v>3</v>
      </c>
    </row>
    <row r="83" spans="1:2" x14ac:dyDescent="0.3">
      <c r="A83" s="7" t="s">
        <v>591</v>
      </c>
      <c r="B83">
        <v>0</v>
      </c>
    </row>
    <row r="84" spans="1:2" x14ac:dyDescent="0.3">
      <c r="A84" s="7" t="s">
        <v>338</v>
      </c>
      <c r="B84">
        <v>5</v>
      </c>
    </row>
    <row r="85" spans="1:2" x14ac:dyDescent="0.3">
      <c r="A85" s="7" t="s">
        <v>599</v>
      </c>
      <c r="B85">
        <v>15</v>
      </c>
    </row>
    <row r="86" spans="1:2" x14ac:dyDescent="0.3">
      <c r="A86" s="7" t="s">
        <v>718</v>
      </c>
      <c r="B86">
        <v>1</v>
      </c>
    </row>
    <row r="87" spans="1:2" x14ac:dyDescent="0.3">
      <c r="A87" s="7" t="s">
        <v>720</v>
      </c>
      <c r="B87">
        <v>1</v>
      </c>
    </row>
    <row r="88" spans="1:2" x14ac:dyDescent="0.3">
      <c r="A88" s="7" t="s">
        <v>401</v>
      </c>
      <c r="B88">
        <v>32</v>
      </c>
    </row>
    <row r="89" spans="1:2" x14ac:dyDescent="0.3">
      <c r="A89" s="7" t="s">
        <v>449</v>
      </c>
      <c r="B89">
        <v>0</v>
      </c>
    </row>
    <row r="90" spans="1:2" x14ac:dyDescent="0.3">
      <c r="A90" s="7" t="s">
        <v>450</v>
      </c>
      <c r="B90">
        <v>0</v>
      </c>
    </row>
    <row r="91" spans="1:2" x14ac:dyDescent="0.3">
      <c r="A91" s="7" t="s">
        <v>451</v>
      </c>
      <c r="B91">
        <v>1</v>
      </c>
    </row>
    <row r="92" spans="1:2" x14ac:dyDescent="0.3">
      <c r="A92" s="7" t="s">
        <v>761</v>
      </c>
      <c r="B92">
        <v>7</v>
      </c>
    </row>
    <row r="93" spans="1:2" x14ac:dyDescent="0.3">
      <c r="A93" s="7" t="s">
        <v>452</v>
      </c>
      <c r="B93">
        <v>0</v>
      </c>
    </row>
    <row r="94" spans="1:2" x14ac:dyDescent="0.3">
      <c r="A94" s="7" t="s">
        <v>413</v>
      </c>
      <c r="B94">
        <v>0</v>
      </c>
    </row>
    <row r="95" spans="1:2" x14ac:dyDescent="0.3">
      <c r="A95" s="7" t="s">
        <v>762</v>
      </c>
      <c r="B95">
        <v>0</v>
      </c>
    </row>
    <row r="96" spans="1:2" x14ac:dyDescent="0.3">
      <c r="A96" s="7" t="s">
        <v>600</v>
      </c>
      <c r="B96">
        <v>0</v>
      </c>
    </row>
    <row r="97" spans="1:2" x14ac:dyDescent="0.3">
      <c r="A97" s="7" t="s">
        <v>560</v>
      </c>
      <c r="B97">
        <v>0</v>
      </c>
    </row>
    <row r="98" spans="1:2" x14ac:dyDescent="0.3">
      <c r="A98" s="7" t="s">
        <v>356</v>
      </c>
      <c r="B98">
        <v>1</v>
      </c>
    </row>
    <row r="99" spans="1:2" x14ac:dyDescent="0.3">
      <c r="A99" s="7" t="s">
        <v>358</v>
      </c>
      <c r="B99">
        <v>0</v>
      </c>
    </row>
    <row r="100" spans="1:2" x14ac:dyDescent="0.3">
      <c r="A100" s="7" t="s">
        <v>741</v>
      </c>
      <c r="B100">
        <v>0</v>
      </c>
    </row>
    <row r="101" spans="1:2" x14ac:dyDescent="0.3">
      <c r="A101" s="7" t="s">
        <v>561</v>
      </c>
      <c r="B101">
        <v>2</v>
      </c>
    </row>
    <row r="102" spans="1:2" x14ac:dyDescent="0.3">
      <c r="A102" s="7" t="s">
        <v>562</v>
      </c>
      <c r="B102">
        <v>19</v>
      </c>
    </row>
    <row r="103" spans="1:2" x14ac:dyDescent="0.3">
      <c r="A103" s="7" t="s">
        <v>700</v>
      </c>
      <c r="B103">
        <v>3</v>
      </c>
    </row>
    <row r="104" spans="1:2" x14ac:dyDescent="0.3">
      <c r="A104" s="7" t="s">
        <v>388</v>
      </c>
      <c r="B104">
        <v>9</v>
      </c>
    </row>
    <row r="105" spans="1:2" x14ac:dyDescent="0.3">
      <c r="A105" s="7" t="s">
        <v>389</v>
      </c>
      <c r="B105">
        <v>0</v>
      </c>
    </row>
    <row r="106" spans="1:2" x14ac:dyDescent="0.3">
      <c r="A106" s="7" t="s">
        <v>563</v>
      </c>
      <c r="B106">
        <v>1</v>
      </c>
    </row>
    <row r="107" spans="1:2" x14ac:dyDescent="0.3">
      <c r="A107" s="7" t="s">
        <v>453</v>
      </c>
      <c r="B107">
        <v>9</v>
      </c>
    </row>
    <row r="108" spans="1:2" x14ac:dyDescent="0.3">
      <c r="A108" s="7" t="s">
        <v>544</v>
      </c>
      <c r="B108">
        <v>0</v>
      </c>
    </row>
    <row r="109" spans="1:2" x14ac:dyDescent="0.3">
      <c r="A109" s="7" t="s">
        <v>454</v>
      </c>
      <c r="B109">
        <v>3</v>
      </c>
    </row>
    <row r="110" spans="1:2" x14ac:dyDescent="0.3">
      <c r="A110" s="7" t="s">
        <v>393</v>
      </c>
      <c r="B110">
        <v>0</v>
      </c>
    </row>
    <row r="111" spans="1:2" x14ac:dyDescent="0.3">
      <c r="A111" s="7" t="s">
        <v>712</v>
      </c>
      <c r="B111">
        <v>0</v>
      </c>
    </row>
    <row r="112" spans="1:2" x14ac:dyDescent="0.3">
      <c r="A112" s="7" t="s">
        <v>414</v>
      </c>
      <c r="B112">
        <v>0</v>
      </c>
    </row>
    <row r="113" spans="1:2" x14ac:dyDescent="0.3">
      <c r="A113" s="7" t="s">
        <v>455</v>
      </c>
      <c r="B113">
        <v>9</v>
      </c>
    </row>
    <row r="114" spans="1:2" x14ac:dyDescent="0.3">
      <c r="A114" s="7" t="s">
        <v>721</v>
      </c>
      <c r="B114">
        <v>8</v>
      </c>
    </row>
    <row r="115" spans="1:2" x14ac:dyDescent="0.3">
      <c r="A115" s="7" t="s">
        <v>456</v>
      </c>
      <c r="B115">
        <v>0</v>
      </c>
    </row>
    <row r="116" spans="1:2" x14ac:dyDescent="0.3">
      <c r="A116" s="7" t="s">
        <v>657</v>
      </c>
      <c r="B116">
        <v>5</v>
      </c>
    </row>
    <row r="117" spans="1:2" x14ac:dyDescent="0.3">
      <c r="A117" s="7" t="s">
        <v>627</v>
      </c>
      <c r="B117">
        <v>0</v>
      </c>
    </row>
    <row r="118" spans="1:2" x14ac:dyDescent="0.3">
      <c r="A118" s="7" t="s">
        <v>750</v>
      </c>
      <c r="B118">
        <v>0</v>
      </c>
    </row>
    <row r="119" spans="1:2" x14ac:dyDescent="0.3">
      <c r="A119" s="7" t="s">
        <v>564</v>
      </c>
      <c r="B119">
        <v>0</v>
      </c>
    </row>
    <row r="120" spans="1:2" x14ac:dyDescent="0.3">
      <c r="A120" s="7" t="s">
        <v>601</v>
      </c>
      <c r="B120">
        <v>1</v>
      </c>
    </row>
    <row r="121" spans="1:2" x14ac:dyDescent="0.3">
      <c r="A121" s="7" t="s">
        <v>457</v>
      </c>
      <c r="B121">
        <v>13</v>
      </c>
    </row>
    <row r="122" spans="1:2" x14ac:dyDescent="0.3">
      <c r="A122" s="7" t="s">
        <v>638</v>
      </c>
      <c r="B122">
        <v>1</v>
      </c>
    </row>
    <row r="123" spans="1:2" x14ac:dyDescent="0.3">
      <c r="A123" s="7" t="s">
        <v>340</v>
      </c>
      <c r="B123">
        <v>8</v>
      </c>
    </row>
    <row r="124" spans="1:2" x14ac:dyDescent="0.3">
      <c r="A124" s="7" t="s">
        <v>565</v>
      </c>
      <c r="B124">
        <v>3</v>
      </c>
    </row>
    <row r="125" spans="1:2" x14ac:dyDescent="0.3">
      <c r="A125" s="7" t="s">
        <v>566</v>
      </c>
      <c r="B125">
        <v>10</v>
      </c>
    </row>
    <row r="126" spans="1:2" x14ac:dyDescent="0.3">
      <c r="A126" s="7" t="s">
        <v>567</v>
      </c>
      <c r="B126">
        <v>0</v>
      </c>
    </row>
    <row r="127" spans="1:2" x14ac:dyDescent="0.3">
      <c r="A127" s="7" t="s">
        <v>458</v>
      </c>
      <c r="B127">
        <v>8</v>
      </c>
    </row>
    <row r="128" spans="1:2" x14ac:dyDescent="0.3">
      <c r="A128" s="7" t="s">
        <v>568</v>
      </c>
      <c r="B128">
        <v>8</v>
      </c>
    </row>
    <row r="129" spans="1:2" x14ac:dyDescent="0.3">
      <c r="A129" s="7" t="s">
        <v>459</v>
      </c>
      <c r="B129">
        <v>4</v>
      </c>
    </row>
    <row r="130" spans="1:2" x14ac:dyDescent="0.3">
      <c r="A130" s="7" t="s">
        <v>395</v>
      </c>
      <c r="B130">
        <v>0</v>
      </c>
    </row>
    <row r="131" spans="1:2" x14ac:dyDescent="0.3">
      <c r="A131" s="7" t="s">
        <v>528</v>
      </c>
      <c r="B131">
        <v>0</v>
      </c>
    </row>
    <row r="132" spans="1:2" x14ac:dyDescent="0.3">
      <c r="A132" s="7" t="s">
        <v>602</v>
      </c>
      <c r="B132">
        <v>3</v>
      </c>
    </row>
    <row r="133" spans="1:2" x14ac:dyDescent="0.3">
      <c r="A133" s="7" t="s">
        <v>370</v>
      </c>
      <c r="B133">
        <v>11</v>
      </c>
    </row>
    <row r="134" spans="1:2" x14ac:dyDescent="0.3">
      <c r="A134" s="7" t="s">
        <v>371</v>
      </c>
      <c r="B134">
        <v>16</v>
      </c>
    </row>
    <row r="135" spans="1:2" x14ac:dyDescent="0.3">
      <c r="A135" s="7" t="s">
        <v>744</v>
      </c>
      <c r="B135">
        <v>4</v>
      </c>
    </row>
    <row r="136" spans="1:2" x14ac:dyDescent="0.3">
      <c r="A136" s="7" t="s">
        <v>372</v>
      </c>
      <c r="B136">
        <v>5</v>
      </c>
    </row>
    <row r="137" spans="1:2" x14ac:dyDescent="0.3">
      <c r="A137" s="7" t="s">
        <v>460</v>
      </c>
      <c r="B137">
        <v>2</v>
      </c>
    </row>
    <row r="138" spans="1:2" x14ac:dyDescent="0.3">
      <c r="A138" s="7" t="s">
        <v>461</v>
      </c>
      <c r="B138">
        <v>16</v>
      </c>
    </row>
    <row r="139" spans="1:2" x14ac:dyDescent="0.3">
      <c r="A139" s="7" t="s">
        <v>639</v>
      </c>
      <c r="B139">
        <v>19</v>
      </c>
    </row>
    <row r="140" spans="1:2" x14ac:dyDescent="0.3">
      <c r="A140" s="7" t="s">
        <v>341</v>
      </c>
      <c r="B140">
        <v>2</v>
      </c>
    </row>
    <row r="141" spans="1:2" x14ac:dyDescent="0.3">
      <c r="A141" s="7" t="s">
        <v>390</v>
      </c>
      <c r="B141">
        <v>6</v>
      </c>
    </row>
    <row r="142" spans="1:2" x14ac:dyDescent="0.3">
      <c r="A142" s="7" t="s">
        <v>462</v>
      </c>
      <c r="B142">
        <v>26</v>
      </c>
    </row>
    <row r="143" spans="1:2" x14ac:dyDescent="0.3">
      <c r="A143" s="7" t="s">
        <v>696</v>
      </c>
      <c r="B143">
        <v>0</v>
      </c>
    </row>
    <row r="144" spans="1:2" x14ac:dyDescent="0.3">
      <c r="A144" s="7" t="s">
        <v>763</v>
      </c>
      <c r="B144">
        <v>9</v>
      </c>
    </row>
    <row r="145" spans="1:2" x14ac:dyDescent="0.3">
      <c r="A145" s="7" t="s">
        <v>603</v>
      </c>
      <c r="B145">
        <v>4</v>
      </c>
    </row>
    <row r="146" spans="1:2" x14ac:dyDescent="0.3">
      <c r="A146" s="7" t="s">
        <v>342</v>
      </c>
      <c r="B146">
        <v>22</v>
      </c>
    </row>
    <row r="147" spans="1:2" x14ac:dyDescent="0.3">
      <c r="A147" s="7" t="s">
        <v>640</v>
      </c>
      <c r="B147">
        <v>12</v>
      </c>
    </row>
    <row r="148" spans="1:2" x14ac:dyDescent="0.3">
      <c r="A148" s="7" t="s">
        <v>569</v>
      </c>
      <c r="B148">
        <v>11</v>
      </c>
    </row>
    <row r="149" spans="1:2" x14ac:dyDescent="0.3">
      <c r="A149" s="7" t="s">
        <v>570</v>
      </c>
      <c r="B149">
        <v>4</v>
      </c>
    </row>
    <row r="150" spans="1:2" x14ac:dyDescent="0.3">
      <c r="A150" s="7" t="s">
        <v>463</v>
      </c>
      <c r="B150">
        <v>10</v>
      </c>
    </row>
    <row r="151" spans="1:2" x14ac:dyDescent="0.3">
      <c r="A151" s="7" t="s">
        <v>707</v>
      </c>
      <c r="B151">
        <v>0</v>
      </c>
    </row>
    <row r="152" spans="1:2" x14ac:dyDescent="0.3">
      <c r="A152" s="7" t="s">
        <v>373</v>
      </c>
      <c r="B152">
        <v>3</v>
      </c>
    </row>
    <row r="153" spans="1:2" x14ac:dyDescent="0.3">
      <c r="A153" s="7" t="s">
        <v>604</v>
      </c>
      <c r="B153">
        <v>8</v>
      </c>
    </row>
    <row r="154" spans="1:2" x14ac:dyDescent="0.3">
      <c r="A154" s="7" t="s">
        <v>587</v>
      </c>
      <c r="B154">
        <v>15</v>
      </c>
    </row>
    <row r="155" spans="1:2" x14ac:dyDescent="0.3">
      <c r="A155" s="7" t="s">
        <v>616</v>
      </c>
      <c r="B155">
        <v>11</v>
      </c>
    </row>
    <row r="156" spans="1:2" x14ac:dyDescent="0.3">
      <c r="A156" s="7" t="s">
        <v>658</v>
      </c>
      <c r="B156">
        <v>3</v>
      </c>
    </row>
    <row r="157" spans="1:2" x14ac:dyDescent="0.3">
      <c r="A157" s="7" t="s">
        <v>683</v>
      </c>
      <c r="B157">
        <v>8</v>
      </c>
    </row>
    <row r="158" spans="1:2" x14ac:dyDescent="0.3">
      <c r="A158" s="7" t="s">
        <v>722</v>
      </c>
      <c r="B158">
        <v>3</v>
      </c>
    </row>
    <row r="159" spans="1:2" x14ac:dyDescent="0.3">
      <c r="A159" s="7" t="s">
        <v>343</v>
      </c>
      <c r="B159">
        <v>6</v>
      </c>
    </row>
    <row r="160" spans="1:2" x14ac:dyDescent="0.3">
      <c r="A160" s="7" t="s">
        <v>523</v>
      </c>
      <c r="B160">
        <v>0</v>
      </c>
    </row>
    <row r="161" spans="1:2" x14ac:dyDescent="0.3">
      <c r="A161" s="7" t="s">
        <v>723</v>
      </c>
      <c r="B161">
        <v>17</v>
      </c>
    </row>
    <row r="162" spans="1:2" x14ac:dyDescent="0.3">
      <c r="A162" s="7" t="s">
        <v>752</v>
      </c>
      <c r="B162">
        <v>3</v>
      </c>
    </row>
    <row r="163" spans="1:2" x14ac:dyDescent="0.3">
      <c r="A163" s="7" t="s">
        <v>464</v>
      </c>
      <c r="B163">
        <v>10</v>
      </c>
    </row>
    <row r="164" spans="1:2" x14ac:dyDescent="0.3">
      <c r="A164" s="7" t="s">
        <v>618</v>
      </c>
      <c r="B164">
        <v>11</v>
      </c>
    </row>
    <row r="165" spans="1:2" x14ac:dyDescent="0.3">
      <c r="A165" s="7" t="s">
        <v>708</v>
      </c>
      <c r="B165">
        <v>1</v>
      </c>
    </row>
    <row r="166" spans="1:2" x14ac:dyDescent="0.3">
      <c r="A166" s="7" t="s">
        <v>746</v>
      </c>
      <c r="B166">
        <v>1</v>
      </c>
    </row>
    <row r="167" spans="1:2" x14ac:dyDescent="0.3">
      <c r="A167" s="7" t="s">
        <v>374</v>
      </c>
      <c r="B167">
        <v>16</v>
      </c>
    </row>
    <row r="168" spans="1:2" x14ac:dyDescent="0.3">
      <c r="A168" s="7" t="s">
        <v>465</v>
      </c>
      <c r="B168">
        <v>10</v>
      </c>
    </row>
    <row r="169" spans="1:2" x14ac:dyDescent="0.3">
      <c r="A169" s="7" t="s">
        <v>466</v>
      </c>
      <c r="B169">
        <v>10</v>
      </c>
    </row>
    <row r="170" spans="1:2" x14ac:dyDescent="0.3">
      <c r="A170" s="7" t="s">
        <v>659</v>
      </c>
      <c r="B170">
        <v>14</v>
      </c>
    </row>
    <row r="171" spans="1:2" x14ac:dyDescent="0.3">
      <c r="A171" s="7" t="s">
        <v>775</v>
      </c>
      <c r="B171">
        <v>17</v>
      </c>
    </row>
    <row r="172" spans="1:2" x14ac:dyDescent="0.3">
      <c r="A172" s="7" t="s">
        <v>776</v>
      </c>
    </row>
    <row r="173" spans="1:2" x14ac:dyDescent="0.3">
      <c r="A173" s="7" t="s">
        <v>467</v>
      </c>
      <c r="B173">
        <v>17</v>
      </c>
    </row>
    <row r="174" spans="1:2" x14ac:dyDescent="0.3">
      <c r="A174" s="7" t="s">
        <v>525</v>
      </c>
      <c r="B174">
        <v>2</v>
      </c>
    </row>
    <row r="175" spans="1:2" x14ac:dyDescent="0.3">
      <c r="A175" s="7" t="s">
        <v>684</v>
      </c>
      <c r="B175">
        <v>1</v>
      </c>
    </row>
    <row r="176" spans="1:2" x14ac:dyDescent="0.3">
      <c r="A176" s="7" t="s">
        <v>415</v>
      </c>
      <c r="B176">
        <v>19</v>
      </c>
    </row>
    <row r="177" spans="1:2" x14ac:dyDescent="0.3">
      <c r="A177" s="7" t="s">
        <v>416</v>
      </c>
      <c r="B177">
        <v>0</v>
      </c>
    </row>
    <row r="178" spans="1:2" x14ac:dyDescent="0.3">
      <c r="A178" s="7" t="s">
        <v>468</v>
      </c>
      <c r="B178">
        <v>10</v>
      </c>
    </row>
    <row r="179" spans="1:2" x14ac:dyDescent="0.3">
      <c r="A179" s="7" t="s">
        <v>469</v>
      </c>
      <c r="B179">
        <v>11</v>
      </c>
    </row>
    <row r="180" spans="1:2" x14ac:dyDescent="0.3">
      <c r="A180" s="7" t="s">
        <v>571</v>
      </c>
      <c r="B180">
        <v>11</v>
      </c>
    </row>
    <row r="181" spans="1:2" x14ac:dyDescent="0.3">
      <c r="A181" s="7" t="s">
        <v>470</v>
      </c>
      <c r="B181">
        <v>14</v>
      </c>
    </row>
    <row r="182" spans="1:2" x14ac:dyDescent="0.3">
      <c r="A182" s="7" t="s">
        <v>471</v>
      </c>
      <c r="B182">
        <v>39</v>
      </c>
    </row>
    <row r="183" spans="1:2" x14ac:dyDescent="0.3">
      <c r="A183" s="7" t="s">
        <v>641</v>
      </c>
      <c r="B183">
        <v>5</v>
      </c>
    </row>
    <row r="184" spans="1:2" x14ac:dyDescent="0.3">
      <c r="A184" s="7" t="s">
        <v>642</v>
      </c>
      <c r="B184">
        <v>23</v>
      </c>
    </row>
    <row r="185" spans="1:2" x14ac:dyDescent="0.3">
      <c r="A185" s="7" t="s">
        <v>605</v>
      </c>
      <c r="B185">
        <v>8</v>
      </c>
    </row>
    <row r="186" spans="1:2" x14ac:dyDescent="0.3">
      <c r="A186" s="7" t="s">
        <v>660</v>
      </c>
      <c r="B186">
        <v>8</v>
      </c>
    </row>
    <row r="187" spans="1:2" x14ac:dyDescent="0.3">
      <c r="A187" s="7" t="s">
        <v>344</v>
      </c>
      <c r="B187">
        <v>22</v>
      </c>
    </row>
    <row r="188" spans="1:2" x14ac:dyDescent="0.3">
      <c r="A188" s="7" t="s">
        <v>472</v>
      </c>
      <c r="B188">
        <v>12</v>
      </c>
    </row>
    <row r="189" spans="1:2" x14ac:dyDescent="0.3">
      <c r="A189" s="7" t="s">
        <v>572</v>
      </c>
      <c r="B189">
        <v>30</v>
      </c>
    </row>
    <row r="190" spans="1:2" x14ac:dyDescent="0.3">
      <c r="A190" s="7" t="s">
        <v>473</v>
      </c>
      <c r="B190">
        <v>32</v>
      </c>
    </row>
    <row r="191" spans="1:2" x14ac:dyDescent="0.3">
      <c r="A191" s="7" t="s">
        <v>573</v>
      </c>
      <c r="B191">
        <v>59</v>
      </c>
    </row>
    <row r="192" spans="1:2" x14ac:dyDescent="0.3">
      <c r="A192" s="7" t="s">
        <v>474</v>
      </c>
      <c r="B192">
        <v>1</v>
      </c>
    </row>
    <row r="193" spans="1:2" x14ac:dyDescent="0.3">
      <c r="A193" s="7" t="s">
        <v>574</v>
      </c>
      <c r="B193">
        <v>0</v>
      </c>
    </row>
    <row r="194" spans="1:2" x14ac:dyDescent="0.3">
      <c r="A194" s="7" t="s">
        <v>476</v>
      </c>
      <c r="B194">
        <v>38</v>
      </c>
    </row>
    <row r="195" spans="1:2" x14ac:dyDescent="0.3">
      <c r="A195" s="7" t="s">
        <v>477</v>
      </c>
      <c r="B195">
        <v>9</v>
      </c>
    </row>
    <row r="196" spans="1:2" x14ac:dyDescent="0.3">
      <c r="A196" s="7" t="s">
        <v>478</v>
      </c>
      <c r="B196">
        <v>0</v>
      </c>
    </row>
    <row r="197" spans="1:2" x14ac:dyDescent="0.3">
      <c r="A197" s="7" t="s">
        <v>475</v>
      </c>
      <c r="B197">
        <v>14</v>
      </c>
    </row>
    <row r="198" spans="1:2" x14ac:dyDescent="0.3">
      <c r="A198" s="7" t="s">
        <v>685</v>
      </c>
      <c r="B198">
        <v>0</v>
      </c>
    </row>
    <row r="199" spans="1:2" x14ac:dyDescent="0.3">
      <c r="A199" s="7" t="s">
        <v>479</v>
      </c>
      <c r="B199">
        <v>7</v>
      </c>
    </row>
    <row r="200" spans="1:2" x14ac:dyDescent="0.3">
      <c r="A200" s="7" t="s">
        <v>643</v>
      </c>
      <c r="B200">
        <v>6</v>
      </c>
    </row>
    <row r="201" spans="1:2" x14ac:dyDescent="0.3">
      <c r="A201" s="7" t="s">
        <v>644</v>
      </c>
      <c r="B201">
        <v>14</v>
      </c>
    </row>
    <row r="202" spans="1:2" x14ac:dyDescent="0.3">
      <c r="A202" s="7" t="s">
        <v>645</v>
      </c>
      <c r="B202">
        <v>1</v>
      </c>
    </row>
    <row r="203" spans="1:2" x14ac:dyDescent="0.3">
      <c r="A203" s="7" t="s">
        <v>606</v>
      </c>
      <c r="B203">
        <v>7</v>
      </c>
    </row>
    <row r="204" spans="1:2" x14ac:dyDescent="0.3">
      <c r="A204" s="7" t="s">
        <v>646</v>
      </c>
      <c r="B204">
        <v>1</v>
      </c>
    </row>
    <row r="205" spans="1:2" x14ac:dyDescent="0.3">
      <c r="A205" s="7" t="s">
        <v>714</v>
      </c>
      <c r="B205">
        <v>0</v>
      </c>
    </row>
    <row r="206" spans="1:2" x14ac:dyDescent="0.3">
      <c r="A206" s="7" t="s">
        <v>575</v>
      </c>
      <c r="B206">
        <v>26</v>
      </c>
    </row>
    <row r="207" spans="1:2" x14ac:dyDescent="0.3">
      <c r="A207" s="7" t="s">
        <v>480</v>
      </c>
      <c r="B207">
        <v>0</v>
      </c>
    </row>
    <row r="208" spans="1:2" x14ac:dyDescent="0.3">
      <c r="A208" s="7" t="s">
        <v>784</v>
      </c>
      <c r="B208">
        <v>5</v>
      </c>
    </row>
    <row r="209" spans="1:2" x14ac:dyDescent="0.3">
      <c r="A209" s="7" t="s">
        <v>785</v>
      </c>
      <c r="B209">
        <v>0</v>
      </c>
    </row>
    <row r="210" spans="1:2" x14ac:dyDescent="0.3">
      <c r="A210" s="7" t="s">
        <v>724</v>
      </c>
      <c r="B210">
        <v>20</v>
      </c>
    </row>
    <row r="211" spans="1:2" x14ac:dyDescent="0.3">
      <c r="A211" s="7" t="s">
        <v>397</v>
      </c>
      <c r="B211">
        <v>0</v>
      </c>
    </row>
    <row r="212" spans="1:2" x14ac:dyDescent="0.3">
      <c r="A212" s="7" t="s">
        <v>520</v>
      </c>
      <c r="B212">
        <v>9</v>
      </c>
    </row>
    <row r="213" spans="1:2" x14ac:dyDescent="0.3">
      <c r="A213" s="7" t="s">
        <v>540</v>
      </c>
      <c r="B213">
        <v>0</v>
      </c>
    </row>
    <row r="214" spans="1:2" x14ac:dyDescent="0.3">
      <c r="A214" s="7" t="s">
        <v>715</v>
      </c>
      <c r="B214">
        <v>9</v>
      </c>
    </row>
    <row r="215" spans="1:2" x14ac:dyDescent="0.3">
      <c r="A215" s="7" t="s">
        <v>702</v>
      </c>
      <c r="B215">
        <v>0</v>
      </c>
    </row>
    <row r="216" spans="1:2" x14ac:dyDescent="0.3">
      <c r="A216" s="7" t="s">
        <v>526</v>
      </c>
      <c r="B216">
        <v>1</v>
      </c>
    </row>
    <row r="217" spans="1:2" x14ac:dyDescent="0.3">
      <c r="A217" s="7" t="s">
        <v>364</v>
      </c>
      <c r="B217">
        <v>0</v>
      </c>
    </row>
    <row r="218" spans="1:2" x14ac:dyDescent="0.3">
      <c r="A218" s="7" t="s">
        <v>381</v>
      </c>
      <c r="B218">
        <v>0</v>
      </c>
    </row>
    <row r="219" spans="1:2" x14ac:dyDescent="0.3">
      <c r="A219" s="7" t="s">
        <v>481</v>
      </c>
      <c r="B219">
        <v>0</v>
      </c>
    </row>
    <row r="220" spans="1:2" x14ac:dyDescent="0.3">
      <c r="A220" s="7" t="s">
        <v>735</v>
      </c>
      <c r="B220">
        <v>0</v>
      </c>
    </row>
    <row r="221" spans="1:2" x14ac:dyDescent="0.3">
      <c r="A221" s="7" t="s">
        <v>534</v>
      </c>
      <c r="B221">
        <v>0</v>
      </c>
    </row>
    <row r="222" spans="1:2" x14ac:dyDescent="0.3">
      <c r="A222" s="7" t="s">
        <v>482</v>
      </c>
      <c r="B222">
        <v>5</v>
      </c>
    </row>
    <row r="223" spans="1:2" x14ac:dyDescent="0.3">
      <c r="A223" s="7" t="s">
        <v>764</v>
      </c>
      <c r="B223">
        <v>12</v>
      </c>
    </row>
    <row r="224" spans="1:2" x14ac:dyDescent="0.3">
      <c r="A224" s="7" t="s">
        <v>483</v>
      </c>
      <c r="B224">
        <v>19</v>
      </c>
    </row>
    <row r="225" spans="1:2" x14ac:dyDescent="0.3">
      <c r="A225" s="7" t="s">
        <v>484</v>
      </c>
      <c r="B225">
        <v>12</v>
      </c>
    </row>
    <row r="226" spans="1:2" x14ac:dyDescent="0.3">
      <c r="A226" s="7" t="s">
        <v>576</v>
      </c>
      <c r="B226">
        <v>3</v>
      </c>
    </row>
    <row r="227" spans="1:2" x14ac:dyDescent="0.3">
      <c r="A227" s="7" t="s">
        <v>577</v>
      </c>
      <c r="B227">
        <v>6</v>
      </c>
    </row>
    <row r="228" spans="1:2" x14ac:dyDescent="0.3">
      <c r="A228" s="7" t="s">
        <v>607</v>
      </c>
      <c r="B228">
        <v>0</v>
      </c>
    </row>
    <row r="229" spans="1:2" x14ac:dyDescent="0.3">
      <c r="A229" s="7" t="s">
        <v>619</v>
      </c>
      <c r="B229">
        <v>8</v>
      </c>
    </row>
    <row r="230" spans="1:2" x14ac:dyDescent="0.3">
      <c r="A230" s="7" t="s">
        <v>417</v>
      </c>
      <c r="B230">
        <v>8</v>
      </c>
    </row>
    <row r="231" spans="1:2" x14ac:dyDescent="0.3">
      <c r="A231" s="7" t="s">
        <v>620</v>
      </c>
      <c r="B231">
        <v>3</v>
      </c>
    </row>
    <row r="232" spans="1:2" x14ac:dyDescent="0.3">
      <c r="A232" s="7" t="s">
        <v>536</v>
      </c>
      <c r="B232">
        <v>9</v>
      </c>
    </row>
    <row r="233" spans="1:2" x14ac:dyDescent="0.3">
      <c r="A233" s="7" t="s">
        <v>743</v>
      </c>
      <c r="B233">
        <v>0</v>
      </c>
    </row>
    <row r="234" spans="1:2" x14ac:dyDescent="0.3">
      <c r="A234" s="7" t="s">
        <v>737</v>
      </c>
      <c r="B234">
        <v>11</v>
      </c>
    </row>
    <row r="235" spans="1:2" x14ac:dyDescent="0.3">
      <c r="A235" s="7" t="s">
        <v>621</v>
      </c>
      <c r="B235">
        <v>4</v>
      </c>
    </row>
    <row r="236" spans="1:2" x14ac:dyDescent="0.3">
      <c r="A236" s="7" t="s">
        <v>418</v>
      </c>
      <c r="B236">
        <v>2</v>
      </c>
    </row>
    <row r="237" spans="1:2" x14ac:dyDescent="0.3">
      <c r="A237" s="7" t="s">
        <v>622</v>
      </c>
      <c r="B237">
        <v>8</v>
      </c>
    </row>
    <row r="238" spans="1:2" x14ac:dyDescent="0.3">
      <c r="A238" s="7" t="s">
        <v>485</v>
      </c>
      <c r="B238">
        <v>9</v>
      </c>
    </row>
    <row r="239" spans="1:2" x14ac:dyDescent="0.3">
      <c r="A239" s="7" t="s">
        <v>709</v>
      </c>
      <c r="B239">
        <v>0</v>
      </c>
    </row>
    <row r="240" spans="1:2" x14ac:dyDescent="0.3">
      <c r="A240" s="7" t="s">
        <v>486</v>
      </c>
      <c r="B240">
        <v>3</v>
      </c>
    </row>
    <row r="241" spans="1:2" x14ac:dyDescent="0.3">
      <c r="A241" s="7" t="s">
        <v>725</v>
      </c>
      <c r="B241">
        <v>0</v>
      </c>
    </row>
    <row r="242" spans="1:2" x14ac:dyDescent="0.3">
      <c r="A242" s="7" t="s">
        <v>537</v>
      </c>
      <c r="B242">
        <v>0</v>
      </c>
    </row>
    <row r="243" spans="1:2" x14ac:dyDescent="0.3">
      <c r="A243" s="7" t="s">
        <v>487</v>
      </c>
      <c r="B243">
        <v>3</v>
      </c>
    </row>
    <row r="244" spans="1:2" x14ac:dyDescent="0.3">
      <c r="A244" s="7" t="s">
        <v>647</v>
      </c>
      <c r="B244">
        <v>2</v>
      </c>
    </row>
    <row r="245" spans="1:2" x14ac:dyDescent="0.3">
      <c r="A245" s="7" t="s">
        <v>488</v>
      </c>
      <c r="B245">
        <v>5</v>
      </c>
    </row>
    <row r="246" spans="1:2" x14ac:dyDescent="0.3">
      <c r="A246" s="7" t="s">
        <v>648</v>
      </c>
      <c r="B246">
        <v>0</v>
      </c>
    </row>
    <row r="247" spans="1:2" x14ac:dyDescent="0.3">
      <c r="A247" s="7" t="s">
        <v>545</v>
      </c>
      <c r="B247">
        <v>6</v>
      </c>
    </row>
    <row r="248" spans="1:2" x14ac:dyDescent="0.3">
      <c r="A248" s="7" t="s">
        <v>747</v>
      </c>
      <c r="B248">
        <v>1</v>
      </c>
    </row>
    <row r="249" spans="1:2" x14ac:dyDescent="0.3">
      <c r="A249" s="7" t="s">
        <v>748</v>
      </c>
      <c r="B249">
        <v>1</v>
      </c>
    </row>
    <row r="250" spans="1:2" x14ac:dyDescent="0.3">
      <c r="A250" s="7" t="s">
        <v>404</v>
      </c>
      <c r="B250">
        <v>0</v>
      </c>
    </row>
    <row r="251" spans="1:2" x14ac:dyDescent="0.3">
      <c r="A251" s="7" t="s">
        <v>489</v>
      </c>
      <c r="B251">
        <v>4</v>
      </c>
    </row>
    <row r="252" spans="1:2" x14ac:dyDescent="0.3">
      <c r="A252" s="7" t="s">
        <v>490</v>
      </c>
      <c r="B252">
        <v>0</v>
      </c>
    </row>
    <row r="253" spans="1:2" x14ac:dyDescent="0.3">
      <c r="A253" s="7" t="s">
        <v>527</v>
      </c>
      <c r="B253">
        <v>0</v>
      </c>
    </row>
    <row r="254" spans="1:2" x14ac:dyDescent="0.3">
      <c r="A254" s="7" t="s">
        <v>765</v>
      </c>
      <c r="B254">
        <v>0</v>
      </c>
    </row>
    <row r="255" spans="1:2" x14ac:dyDescent="0.3">
      <c r="A255" s="7" t="s">
        <v>726</v>
      </c>
      <c r="B255">
        <v>13</v>
      </c>
    </row>
    <row r="256" spans="1:2" x14ac:dyDescent="0.3">
      <c r="A256" s="7" t="s">
        <v>786</v>
      </c>
      <c r="B256">
        <v>0</v>
      </c>
    </row>
    <row r="257" spans="1:2" x14ac:dyDescent="0.3">
      <c r="A257" s="7" t="s">
        <v>491</v>
      </c>
      <c r="B257">
        <v>4</v>
      </c>
    </row>
    <row r="258" spans="1:2" x14ac:dyDescent="0.3">
      <c r="A258" s="7" t="s">
        <v>578</v>
      </c>
      <c r="B258">
        <v>11</v>
      </c>
    </row>
    <row r="259" spans="1:2" x14ac:dyDescent="0.3">
      <c r="A259" s="7" t="s">
        <v>360</v>
      </c>
      <c r="B259">
        <v>0</v>
      </c>
    </row>
    <row r="260" spans="1:2" x14ac:dyDescent="0.3">
      <c r="A260" s="7" t="s">
        <v>363</v>
      </c>
      <c r="B260">
        <v>0</v>
      </c>
    </row>
    <row r="261" spans="1:2" x14ac:dyDescent="0.3">
      <c r="A261" s="7" t="s">
        <v>494</v>
      </c>
      <c r="B261">
        <v>0</v>
      </c>
    </row>
    <row r="262" spans="1:2" x14ac:dyDescent="0.3">
      <c r="A262" s="7" t="s">
        <v>495</v>
      </c>
      <c r="B262">
        <v>5</v>
      </c>
    </row>
    <row r="263" spans="1:2" x14ac:dyDescent="0.3">
      <c r="A263" s="7" t="s">
        <v>496</v>
      </c>
      <c r="B263">
        <v>0</v>
      </c>
    </row>
    <row r="264" spans="1:2" x14ac:dyDescent="0.3">
      <c r="A264" s="7" t="s">
        <v>608</v>
      </c>
      <c r="B264">
        <v>0</v>
      </c>
    </row>
    <row r="265" spans="1:2" x14ac:dyDescent="0.3">
      <c r="A265" s="7" t="s">
        <v>661</v>
      </c>
      <c r="B265">
        <v>10</v>
      </c>
    </row>
    <row r="266" spans="1:2" x14ac:dyDescent="0.3">
      <c r="A266" s="7" t="s">
        <v>662</v>
      </c>
      <c r="B266">
        <v>3</v>
      </c>
    </row>
    <row r="267" spans="1:2" x14ac:dyDescent="0.3">
      <c r="A267" s="7" t="s">
        <v>663</v>
      </c>
      <c r="B267">
        <v>1</v>
      </c>
    </row>
    <row r="268" spans="1:2" x14ac:dyDescent="0.3">
      <c r="A268" s="7" t="s">
        <v>738</v>
      </c>
      <c r="B268">
        <v>0</v>
      </c>
    </row>
    <row r="269" spans="1:2" x14ac:dyDescent="0.3">
      <c r="A269" s="7" t="s">
        <v>753</v>
      </c>
      <c r="B269">
        <v>0</v>
      </c>
    </row>
    <row r="270" spans="1:2" x14ac:dyDescent="0.3">
      <c r="A270" s="7" t="s">
        <v>492</v>
      </c>
      <c r="B270">
        <v>3</v>
      </c>
    </row>
    <row r="271" spans="1:2" x14ac:dyDescent="0.3">
      <c r="A271" s="7" t="s">
        <v>493</v>
      </c>
      <c r="B271">
        <v>6</v>
      </c>
    </row>
    <row r="272" spans="1:2" x14ac:dyDescent="0.3">
      <c r="A272" s="7" t="s">
        <v>403</v>
      </c>
      <c r="B272">
        <v>10</v>
      </c>
    </row>
    <row r="273" spans="1:2" x14ac:dyDescent="0.3">
      <c r="A273" s="7" t="s">
        <v>579</v>
      </c>
      <c r="B273">
        <v>1</v>
      </c>
    </row>
    <row r="274" spans="1:2" x14ac:dyDescent="0.3">
      <c r="A274" s="7" t="s">
        <v>593</v>
      </c>
      <c r="B274">
        <v>0</v>
      </c>
    </row>
    <row r="275" spans="1:2" x14ac:dyDescent="0.3">
      <c r="A275" s="7" t="s">
        <v>497</v>
      </c>
      <c r="B275">
        <v>24</v>
      </c>
    </row>
    <row r="276" spans="1:2" x14ac:dyDescent="0.3">
      <c r="A276" s="7" t="s">
        <v>777</v>
      </c>
      <c r="B276">
        <v>0</v>
      </c>
    </row>
    <row r="277" spans="1:2" x14ac:dyDescent="0.3">
      <c r="A277" s="7" t="s">
        <v>498</v>
      </c>
      <c r="B277">
        <v>5</v>
      </c>
    </row>
    <row r="278" spans="1:2" x14ac:dyDescent="0.3">
      <c r="A278" s="7" t="s">
        <v>499</v>
      </c>
      <c r="B278">
        <v>6</v>
      </c>
    </row>
    <row r="279" spans="1:2" x14ac:dyDescent="0.3">
      <c r="A279" s="7" t="s">
        <v>500</v>
      </c>
      <c r="B279">
        <v>1</v>
      </c>
    </row>
    <row r="280" spans="1:2" x14ac:dyDescent="0.3">
      <c r="A280" s="7" t="s">
        <v>501</v>
      </c>
      <c r="B280">
        <v>12</v>
      </c>
    </row>
    <row r="281" spans="1:2" x14ac:dyDescent="0.3">
      <c r="A281" s="7" t="s">
        <v>580</v>
      </c>
      <c r="B281">
        <v>17</v>
      </c>
    </row>
    <row r="282" spans="1:2" x14ac:dyDescent="0.3">
      <c r="A282" s="7" t="s">
        <v>581</v>
      </c>
      <c r="B282">
        <v>0</v>
      </c>
    </row>
    <row r="283" spans="1:2" x14ac:dyDescent="0.3">
      <c r="A283" s="7" t="s">
        <v>549</v>
      </c>
      <c r="B283">
        <v>5</v>
      </c>
    </row>
    <row r="284" spans="1:2" x14ac:dyDescent="0.3">
      <c r="A284" s="7" t="s">
        <v>398</v>
      </c>
      <c r="B284">
        <v>0</v>
      </c>
    </row>
    <row r="285" spans="1:2" x14ac:dyDescent="0.3">
      <c r="A285" s="7" t="s">
        <v>502</v>
      </c>
      <c r="B285">
        <v>4</v>
      </c>
    </row>
    <row r="286" spans="1:2" x14ac:dyDescent="0.3">
      <c r="A286" s="7" t="s">
        <v>503</v>
      </c>
      <c r="B286">
        <v>18</v>
      </c>
    </row>
    <row r="287" spans="1:2" x14ac:dyDescent="0.3">
      <c r="A287" s="7" t="s">
        <v>754</v>
      </c>
      <c r="B287">
        <v>9</v>
      </c>
    </row>
    <row r="288" spans="1:2" x14ac:dyDescent="0.3">
      <c r="A288" s="7" t="s">
        <v>399</v>
      </c>
      <c r="B288">
        <v>2</v>
      </c>
    </row>
    <row r="289" spans="1:2" x14ac:dyDescent="0.3">
      <c r="A289" s="7" t="s">
        <v>582</v>
      </c>
      <c r="B289">
        <v>15</v>
      </c>
    </row>
    <row r="290" spans="1:2" x14ac:dyDescent="0.3">
      <c r="A290" s="7" t="s">
        <v>583</v>
      </c>
      <c r="B290">
        <v>15</v>
      </c>
    </row>
    <row r="291" spans="1:2" x14ac:dyDescent="0.3">
      <c r="A291" s="7" t="s">
        <v>649</v>
      </c>
      <c r="B291">
        <v>16</v>
      </c>
    </row>
    <row r="292" spans="1:2" x14ac:dyDescent="0.3">
      <c r="A292" s="7" t="s">
        <v>664</v>
      </c>
      <c r="B292">
        <v>27</v>
      </c>
    </row>
    <row r="293" spans="1:2" x14ac:dyDescent="0.3">
      <c r="A293" s="7" t="s">
        <v>650</v>
      </c>
      <c r="B293">
        <v>4</v>
      </c>
    </row>
    <row r="294" spans="1:2" x14ac:dyDescent="0.3">
      <c r="A294" s="7" t="s">
        <v>727</v>
      </c>
      <c r="B294">
        <v>8</v>
      </c>
    </row>
    <row r="295" spans="1:2" x14ac:dyDescent="0.3">
      <c r="A295" s="7" t="s">
        <v>419</v>
      </c>
      <c r="B295">
        <v>2</v>
      </c>
    </row>
    <row r="296" spans="1:2" x14ac:dyDescent="0.3">
      <c r="A296" s="7" t="s">
        <v>609</v>
      </c>
      <c r="B296">
        <v>42</v>
      </c>
    </row>
    <row r="297" spans="1:2" x14ac:dyDescent="0.3">
      <c r="A297" s="7" t="s">
        <v>610</v>
      </c>
      <c r="B297">
        <v>2</v>
      </c>
    </row>
    <row r="298" spans="1:2" x14ac:dyDescent="0.3">
      <c r="A298" s="7" t="s">
        <v>504</v>
      </c>
      <c r="B298">
        <v>38</v>
      </c>
    </row>
    <row r="299" spans="1:2" x14ac:dyDescent="0.3">
      <c r="A299" s="7" t="s">
        <v>391</v>
      </c>
      <c r="B299">
        <v>26</v>
      </c>
    </row>
    <row r="300" spans="1:2" x14ac:dyDescent="0.3">
      <c r="A300" s="7" t="s">
        <v>686</v>
      </c>
      <c r="B300">
        <v>0</v>
      </c>
    </row>
    <row r="301" spans="1:2" x14ac:dyDescent="0.3">
      <c r="A301" s="7" t="s">
        <v>546</v>
      </c>
      <c r="B301">
        <v>1</v>
      </c>
    </row>
    <row r="302" spans="1:2" x14ac:dyDescent="0.3">
      <c r="A302" s="7" t="s">
        <v>651</v>
      </c>
      <c r="B302">
        <v>18</v>
      </c>
    </row>
    <row r="303" spans="1:2" x14ac:dyDescent="0.3">
      <c r="A303" s="7" t="s">
        <v>505</v>
      </c>
      <c r="B303">
        <v>1</v>
      </c>
    </row>
    <row r="304" spans="1:2" x14ac:dyDescent="0.3">
      <c r="A304" s="7" t="s">
        <v>506</v>
      </c>
      <c r="B304">
        <v>4</v>
      </c>
    </row>
    <row r="305" spans="1:2" x14ac:dyDescent="0.3">
      <c r="A305" s="7" t="s">
        <v>611</v>
      </c>
      <c r="B305">
        <v>3</v>
      </c>
    </row>
    <row r="306" spans="1:2" x14ac:dyDescent="0.3">
      <c r="A306" s="7" t="s">
        <v>697</v>
      </c>
      <c r="B306">
        <v>39</v>
      </c>
    </row>
    <row r="307" spans="1:2" x14ac:dyDescent="0.3">
      <c r="A307" s="7" t="s">
        <v>392</v>
      </c>
      <c r="B307">
        <v>0</v>
      </c>
    </row>
    <row r="308" spans="1:2" x14ac:dyDescent="0.3">
      <c r="A308" s="7" t="s">
        <v>347</v>
      </c>
      <c r="B308">
        <v>0</v>
      </c>
    </row>
    <row r="309" spans="1:2" x14ac:dyDescent="0.3">
      <c r="A309" s="7" t="s">
        <v>710</v>
      </c>
      <c r="B309">
        <v>0</v>
      </c>
    </row>
    <row r="310" spans="1:2" x14ac:dyDescent="0.3">
      <c r="A310" s="7" t="s">
        <v>375</v>
      </c>
      <c r="B310">
        <v>3</v>
      </c>
    </row>
    <row r="311" spans="1:2" x14ac:dyDescent="0.3">
      <c r="A311" s="7" t="s">
        <v>716</v>
      </c>
      <c r="B311">
        <v>15</v>
      </c>
    </row>
    <row r="312" spans="1:2" x14ac:dyDescent="0.3">
      <c r="A312" s="7" t="s">
        <v>728</v>
      </c>
      <c r="B312">
        <v>35</v>
      </c>
    </row>
    <row r="313" spans="1:2" x14ac:dyDescent="0.3">
      <c r="A313" s="7" t="s">
        <v>507</v>
      </c>
      <c r="B313">
        <v>17</v>
      </c>
    </row>
    <row r="314" spans="1:2" x14ac:dyDescent="0.3">
      <c r="A314" s="7" t="s">
        <v>717</v>
      </c>
      <c r="B314">
        <v>0</v>
      </c>
    </row>
    <row r="315" spans="1:2" x14ac:dyDescent="0.3">
      <c r="A315" s="7" t="s">
        <v>665</v>
      </c>
      <c r="B315">
        <v>13</v>
      </c>
    </row>
    <row r="316" spans="1:2" x14ac:dyDescent="0.3">
      <c r="A316" s="7" t="s">
        <v>666</v>
      </c>
      <c r="B316">
        <v>1</v>
      </c>
    </row>
    <row r="317" spans="1:2" x14ac:dyDescent="0.3">
      <c r="A317" s="7" t="s">
        <v>667</v>
      </c>
      <c r="B317">
        <v>18</v>
      </c>
    </row>
    <row r="318" spans="1:2" x14ac:dyDescent="0.3">
      <c r="A318" s="7" t="s">
        <v>668</v>
      </c>
      <c r="B318">
        <v>13</v>
      </c>
    </row>
    <row r="319" spans="1:2" x14ac:dyDescent="0.3">
      <c r="A319" s="7" t="s">
        <v>669</v>
      </c>
      <c r="B319">
        <v>4</v>
      </c>
    </row>
    <row r="320" spans="1:2" x14ac:dyDescent="0.3">
      <c r="A320" s="7" t="s">
        <v>670</v>
      </c>
      <c r="B320">
        <v>12</v>
      </c>
    </row>
    <row r="321" spans="1:2" x14ac:dyDescent="0.3">
      <c r="A321" s="7" t="s">
        <v>594</v>
      </c>
      <c r="B321">
        <v>0</v>
      </c>
    </row>
    <row r="322" spans="1:2" x14ac:dyDescent="0.3">
      <c r="A322" s="7" t="s">
        <v>711</v>
      </c>
      <c r="B322">
        <v>1</v>
      </c>
    </row>
    <row r="323" spans="1:2" x14ac:dyDescent="0.3">
      <c r="A323" s="7" t="s">
        <v>671</v>
      </c>
      <c r="B323">
        <v>16</v>
      </c>
    </row>
    <row r="324" spans="1:2" x14ac:dyDescent="0.3">
      <c r="A324" s="7" t="s">
        <v>672</v>
      </c>
      <c r="B324">
        <v>5</v>
      </c>
    </row>
    <row r="325" spans="1:2" x14ac:dyDescent="0.3">
      <c r="A325" s="7" t="s">
        <v>673</v>
      </c>
      <c r="B325">
        <v>3</v>
      </c>
    </row>
    <row r="326" spans="1:2" x14ac:dyDescent="0.3">
      <c r="A326" s="7" t="s">
        <v>674</v>
      </c>
      <c r="B326">
        <v>24</v>
      </c>
    </row>
    <row r="327" spans="1:2" x14ac:dyDescent="0.3">
      <c r="A327" s="7" t="s">
        <v>739</v>
      </c>
      <c r="B327">
        <v>5</v>
      </c>
    </row>
    <row r="328" spans="1:2" x14ac:dyDescent="0.3">
      <c r="A328" s="7" t="s">
        <v>508</v>
      </c>
      <c r="B328">
        <v>0</v>
      </c>
    </row>
    <row r="329" spans="1:2" x14ac:dyDescent="0.3">
      <c r="A329" s="7" t="s">
        <v>623</v>
      </c>
      <c r="B329">
        <v>2</v>
      </c>
    </row>
    <row r="330" spans="1:2" x14ac:dyDescent="0.3">
      <c r="A330" s="7" t="s">
        <v>550</v>
      </c>
      <c r="B330">
        <v>1</v>
      </c>
    </row>
    <row r="331" spans="1:2" x14ac:dyDescent="0.3">
      <c r="A331" s="7" t="s">
        <v>778</v>
      </c>
      <c r="B331">
        <v>5</v>
      </c>
    </row>
    <row r="332" spans="1:2" x14ac:dyDescent="0.3">
      <c r="A332" s="7" t="s">
        <v>755</v>
      </c>
      <c r="B332">
        <v>4</v>
      </c>
    </row>
    <row r="333" spans="1:2" x14ac:dyDescent="0.3">
      <c r="A333" s="7" t="s">
        <v>756</v>
      </c>
      <c r="B333">
        <v>0</v>
      </c>
    </row>
    <row r="334" spans="1:2" x14ac:dyDescent="0.3">
      <c r="A334" s="7" t="s">
        <v>584</v>
      </c>
      <c r="B334">
        <v>1</v>
      </c>
    </row>
    <row r="335" spans="1:2" x14ac:dyDescent="0.3">
      <c r="A335" s="7" t="s">
        <v>509</v>
      </c>
      <c r="B335">
        <v>1</v>
      </c>
    </row>
    <row r="336" spans="1:2" x14ac:dyDescent="0.3">
      <c r="A336" s="7" t="s">
        <v>510</v>
      </c>
      <c r="B336">
        <v>1</v>
      </c>
    </row>
    <row r="337" spans="1:2" x14ac:dyDescent="0.3">
      <c r="A337" s="7" t="s">
        <v>406</v>
      </c>
    </row>
    <row r="338" spans="1:2" x14ac:dyDescent="0.3">
      <c r="A338" s="7" t="s">
        <v>612</v>
      </c>
      <c r="B338">
        <v>1</v>
      </c>
    </row>
    <row r="339" spans="1:2" x14ac:dyDescent="0.3">
      <c r="A339" s="7" t="s">
        <v>613</v>
      </c>
      <c r="B339">
        <v>2</v>
      </c>
    </row>
    <row r="340" spans="1:2" x14ac:dyDescent="0.3">
      <c r="A340" s="7" t="s">
        <v>787</v>
      </c>
      <c r="B340">
        <v>4</v>
      </c>
    </row>
    <row r="341" spans="1:2" x14ac:dyDescent="0.3">
      <c r="A341" s="7" t="s">
        <v>788</v>
      </c>
      <c r="B341">
        <v>5</v>
      </c>
    </row>
    <row r="342" spans="1:2" x14ac:dyDescent="0.3">
      <c r="A342" s="7" t="s">
        <v>348</v>
      </c>
      <c r="B342">
        <v>3</v>
      </c>
    </row>
    <row r="343" spans="1:2" x14ac:dyDescent="0.3">
      <c r="A343" s="7" t="s">
        <v>652</v>
      </c>
      <c r="B343">
        <v>12</v>
      </c>
    </row>
    <row r="344" spans="1:2" x14ac:dyDescent="0.3">
      <c r="A344" s="7" t="s">
        <v>769</v>
      </c>
      <c r="B344">
        <v>2</v>
      </c>
    </row>
    <row r="345" spans="1:2" x14ac:dyDescent="0.3">
      <c r="A345" s="7" t="s">
        <v>511</v>
      </c>
      <c r="B345">
        <v>10</v>
      </c>
    </row>
    <row r="346" spans="1:2" x14ac:dyDescent="0.3">
      <c r="A346" s="7" t="s">
        <v>698</v>
      </c>
      <c r="B346">
        <v>43</v>
      </c>
    </row>
    <row r="347" spans="1:2" x14ac:dyDescent="0.3">
      <c r="A347" s="7" t="s">
        <v>729</v>
      </c>
      <c r="B347">
        <v>3</v>
      </c>
    </row>
    <row r="348" spans="1:2" x14ac:dyDescent="0.3">
      <c r="A348" s="7" t="s">
        <v>512</v>
      </c>
      <c r="B348">
        <v>1</v>
      </c>
    </row>
    <row r="349" spans="1:2" x14ac:dyDescent="0.3">
      <c r="A349" s="7" t="s">
        <v>687</v>
      </c>
      <c r="B349">
        <v>1</v>
      </c>
    </row>
    <row r="350" spans="1:2" x14ac:dyDescent="0.3">
      <c r="A350" s="7" t="s">
        <v>730</v>
      </c>
      <c r="B350">
        <v>90</v>
      </c>
    </row>
    <row r="351" spans="1:2" x14ac:dyDescent="0.3">
      <c r="A351" s="7" t="s">
        <v>349</v>
      </c>
      <c r="B351">
        <v>2</v>
      </c>
    </row>
    <row r="352" spans="1:2" x14ac:dyDescent="0.3">
      <c r="A352" s="7" t="s">
        <v>766</v>
      </c>
      <c r="B352">
        <v>0</v>
      </c>
    </row>
    <row r="353" spans="1:2" x14ac:dyDescent="0.3">
      <c r="A353" s="7" t="s">
        <v>539</v>
      </c>
      <c r="B353">
        <v>0</v>
      </c>
    </row>
    <row r="354" spans="1:2" x14ac:dyDescent="0.3">
      <c r="A354" s="7" t="s">
        <v>354</v>
      </c>
      <c r="B354">
        <v>3</v>
      </c>
    </row>
    <row r="355" spans="1:2" x14ac:dyDescent="0.3">
      <c r="A355" s="7" t="s">
        <v>589</v>
      </c>
      <c r="B355">
        <v>2</v>
      </c>
    </row>
    <row r="356" spans="1:2" x14ac:dyDescent="0.3">
      <c r="A356" s="7" t="s">
        <v>377</v>
      </c>
      <c r="B356">
        <v>0</v>
      </c>
    </row>
    <row r="357" spans="1:2" x14ac:dyDescent="0.3">
      <c r="A357" s="7" t="s">
        <v>792</v>
      </c>
      <c r="B357">
        <v>1</v>
      </c>
    </row>
    <row r="358" spans="1:2" x14ac:dyDescent="0.3">
      <c r="A358" s="7" t="s">
        <v>376</v>
      </c>
      <c r="B358">
        <v>2</v>
      </c>
    </row>
    <row r="359" spans="1:2" x14ac:dyDescent="0.3">
      <c r="A359" s="7" t="s">
        <v>424</v>
      </c>
      <c r="B359">
        <v>1</v>
      </c>
    </row>
    <row r="360" spans="1:2" x14ac:dyDescent="0.3">
      <c r="A360" s="7" t="s">
        <v>733</v>
      </c>
      <c r="B360">
        <v>0</v>
      </c>
    </row>
    <row r="361" spans="1:2" x14ac:dyDescent="0.3">
      <c r="A361" s="7" t="s">
        <v>624</v>
      </c>
      <c r="B361">
        <v>21</v>
      </c>
    </row>
    <row r="362" spans="1:2" x14ac:dyDescent="0.3">
      <c r="A362" s="7" t="s">
        <v>590</v>
      </c>
      <c r="B362">
        <v>20</v>
      </c>
    </row>
    <row r="363" spans="1:2" x14ac:dyDescent="0.3">
      <c r="A363" s="7" t="s">
        <v>757</v>
      </c>
      <c r="B363">
        <v>1</v>
      </c>
    </row>
    <row r="364" spans="1:2" x14ac:dyDescent="0.3">
      <c r="A364" s="7" t="s">
        <v>749</v>
      </c>
      <c r="B364">
        <v>0</v>
      </c>
    </row>
    <row r="365" spans="1:2" x14ac:dyDescent="0.3">
      <c r="A365" s="7" t="s">
        <v>767</v>
      </c>
      <c r="B365">
        <v>0</v>
      </c>
    </row>
    <row r="366" spans="1:2" x14ac:dyDescent="0.3">
      <c r="A366" s="7" t="s">
        <v>699</v>
      </c>
      <c r="B366">
        <v>0</v>
      </c>
    </row>
    <row r="367" spans="1:2" x14ac:dyDescent="0.3">
      <c r="A367" s="7" t="s">
        <v>552</v>
      </c>
      <c r="B367">
        <v>0</v>
      </c>
    </row>
    <row r="368" spans="1:2" x14ac:dyDescent="0.3">
      <c r="A368" s="7" t="s">
        <v>614</v>
      </c>
      <c r="B368">
        <v>4</v>
      </c>
    </row>
    <row r="369" spans="1:2" x14ac:dyDescent="0.3">
      <c r="A369" s="7" t="s">
        <v>703</v>
      </c>
      <c r="B369">
        <v>2</v>
      </c>
    </row>
    <row r="370" spans="1:2" x14ac:dyDescent="0.3">
      <c r="A370" s="7" t="s">
        <v>704</v>
      </c>
      <c r="B370">
        <v>0</v>
      </c>
    </row>
    <row r="371" spans="1:2" x14ac:dyDescent="0.3">
      <c r="A371" s="7" t="s">
        <v>400</v>
      </c>
      <c r="B371">
        <v>0</v>
      </c>
    </row>
    <row r="372" spans="1:2" x14ac:dyDescent="0.3">
      <c r="A372" s="7" t="s">
        <v>789</v>
      </c>
      <c r="B372">
        <v>0</v>
      </c>
    </row>
    <row r="373" spans="1:2" x14ac:dyDescent="0.3">
      <c r="A373" s="7" t="s">
        <v>513</v>
      </c>
      <c r="B373">
        <v>4</v>
      </c>
    </row>
    <row r="374" spans="1:2" x14ac:dyDescent="0.3">
      <c r="A374" s="7" t="s">
        <v>653</v>
      </c>
      <c r="B374">
        <v>0</v>
      </c>
    </row>
    <row r="375" spans="1:2" x14ac:dyDescent="0.3">
      <c r="A375" s="7" t="s">
        <v>675</v>
      </c>
      <c r="B375">
        <v>12</v>
      </c>
    </row>
    <row r="376" spans="1:2" x14ac:dyDescent="0.3">
      <c r="A376" s="7" t="s">
        <v>771</v>
      </c>
      <c r="B376">
        <v>0</v>
      </c>
    </row>
    <row r="377" spans="1:2" x14ac:dyDescent="0.3">
      <c r="A377" s="7" t="s">
        <v>676</v>
      </c>
      <c r="B377">
        <v>8</v>
      </c>
    </row>
    <row r="378" spans="1:2" x14ac:dyDescent="0.3">
      <c r="A378" s="7" t="s">
        <v>677</v>
      </c>
      <c r="B378">
        <v>32</v>
      </c>
    </row>
    <row r="379" spans="1:2" x14ac:dyDescent="0.3">
      <c r="A379" s="7" t="s">
        <v>350</v>
      </c>
      <c r="B379">
        <v>6</v>
      </c>
    </row>
    <row r="380" spans="1:2" x14ac:dyDescent="0.3">
      <c r="A380" s="7" t="s">
        <v>688</v>
      </c>
      <c r="B380">
        <v>52</v>
      </c>
    </row>
    <row r="381" spans="1:2" x14ac:dyDescent="0.3">
      <c r="A381" s="7" t="s">
        <v>689</v>
      </c>
      <c r="B381">
        <v>26</v>
      </c>
    </row>
    <row r="382" spans="1:2" x14ac:dyDescent="0.3">
      <c r="A382" s="7" t="s">
        <v>690</v>
      </c>
      <c r="B382">
        <v>1</v>
      </c>
    </row>
    <row r="383" spans="1:2" x14ac:dyDescent="0.3">
      <c r="A383" s="7" t="s">
        <v>625</v>
      </c>
      <c r="B383">
        <v>53</v>
      </c>
    </row>
    <row r="384" spans="1:2" x14ac:dyDescent="0.3">
      <c r="A384" s="7" t="s">
        <v>585</v>
      </c>
      <c r="B384">
        <v>37</v>
      </c>
    </row>
    <row r="385" spans="1:2" x14ac:dyDescent="0.3">
      <c r="A385" s="7" t="s">
        <v>514</v>
      </c>
      <c r="B385">
        <v>8</v>
      </c>
    </row>
    <row r="386" spans="1:2" x14ac:dyDescent="0.3">
      <c r="A386" s="7" t="s">
        <v>515</v>
      </c>
      <c r="B386">
        <v>1</v>
      </c>
    </row>
    <row r="387" spans="1:2" x14ac:dyDescent="0.3">
      <c r="A387" s="7" t="s">
        <v>522</v>
      </c>
      <c r="B387">
        <v>7</v>
      </c>
    </row>
    <row r="388" spans="1:2" x14ac:dyDescent="0.3">
      <c r="A388" s="7" t="s">
        <v>516</v>
      </c>
      <c r="B388">
        <v>16</v>
      </c>
    </row>
    <row r="389" spans="1:2" x14ac:dyDescent="0.3">
      <c r="A389" s="7" t="s">
        <v>790</v>
      </c>
      <c r="B389">
        <v>5</v>
      </c>
    </row>
    <row r="390" spans="1:2" x14ac:dyDescent="0.3">
      <c r="A390" s="7" t="s">
        <v>791</v>
      </c>
      <c r="B390">
        <v>0</v>
      </c>
    </row>
    <row r="391" spans="1:2" x14ac:dyDescent="0.3">
      <c r="A391" s="7" t="s">
        <v>740</v>
      </c>
      <c r="B391">
        <v>0</v>
      </c>
    </row>
    <row r="392" spans="1:2" x14ac:dyDescent="0.3">
      <c r="A392" s="7" t="s">
        <v>626</v>
      </c>
      <c r="B392">
        <v>9</v>
      </c>
    </row>
    <row r="393" spans="1:2" x14ac:dyDescent="0.3">
      <c r="A393" s="7" t="s">
        <v>615</v>
      </c>
      <c r="B393">
        <v>0</v>
      </c>
    </row>
    <row r="394" spans="1:2" x14ac:dyDescent="0.3">
      <c r="A394" s="7" t="s">
        <v>654</v>
      </c>
      <c r="B394">
        <v>2</v>
      </c>
    </row>
    <row r="395" spans="1:2" x14ac:dyDescent="0.3">
      <c r="A395" s="7" t="s">
        <v>352</v>
      </c>
      <c r="B395">
        <v>5</v>
      </c>
    </row>
    <row r="396" spans="1:2" x14ac:dyDescent="0.3">
      <c r="A396" s="7" t="s">
        <v>734</v>
      </c>
      <c r="B396">
        <v>3</v>
      </c>
    </row>
    <row r="397" spans="1:2" x14ac:dyDescent="0.3">
      <c r="A397" s="7" t="s">
        <v>586</v>
      </c>
      <c r="B397">
        <v>2</v>
      </c>
    </row>
    <row r="398" spans="1:2" x14ac:dyDescent="0.3">
      <c r="A398" s="7" t="s">
        <v>517</v>
      </c>
      <c r="B398">
        <v>0</v>
      </c>
    </row>
    <row r="399" spans="1:2" x14ac:dyDescent="0.3">
      <c r="A399" s="7" t="s">
        <v>518</v>
      </c>
      <c r="B399">
        <v>13</v>
      </c>
    </row>
    <row r="400" spans="1:2" x14ac:dyDescent="0.3">
      <c r="A400" s="7" t="s">
        <v>519</v>
      </c>
      <c r="B400">
        <v>1</v>
      </c>
    </row>
    <row r="401" spans="1:2" x14ac:dyDescent="0.3">
      <c r="A401" s="7" t="s">
        <v>794</v>
      </c>
      <c r="B401">
        <v>4</v>
      </c>
    </row>
    <row r="402" spans="1:2" x14ac:dyDescent="0.3">
      <c r="A402" s="7" t="s">
        <v>691</v>
      </c>
      <c r="B402">
        <v>7</v>
      </c>
    </row>
    <row r="403" spans="1:2" x14ac:dyDescent="0.3">
      <c r="A403" s="7" t="s">
        <v>800</v>
      </c>
      <c r="B403">
        <v>2923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EFF34-FA25-4B09-9B99-FC0D988F5B84}">
  <dimension ref="A3:C459"/>
  <sheetViews>
    <sheetView showGridLines="0" showRowColHeaders="0" workbookViewId="0">
      <selection activeCell="D3" sqref="D3"/>
    </sheetView>
  </sheetViews>
  <sheetFormatPr defaultRowHeight="14.4" x14ac:dyDescent="0.3"/>
  <cols>
    <col min="1" max="1" width="58.109375" bestFit="1" customWidth="1"/>
    <col min="2" max="2" width="24.88671875" bestFit="1" customWidth="1"/>
    <col min="3" max="3" width="25.109375" bestFit="1" customWidth="1"/>
    <col min="4" max="4" width="19.109375" bestFit="1" customWidth="1"/>
    <col min="5" max="5" width="7" bestFit="1" customWidth="1"/>
    <col min="6" max="6" width="25.109375" bestFit="1" customWidth="1"/>
    <col min="7" max="7" width="8" bestFit="1" customWidth="1"/>
    <col min="8" max="9" width="7" bestFit="1" customWidth="1"/>
    <col min="10" max="10" width="29.77734375" bestFit="1" customWidth="1"/>
    <col min="11" max="11" width="30" bestFit="1" customWidth="1"/>
  </cols>
  <sheetData>
    <row r="3" spans="1:3" x14ac:dyDescent="0.3">
      <c r="A3" s="10" t="s">
        <v>798</v>
      </c>
      <c r="B3" t="s">
        <v>801</v>
      </c>
      <c r="C3" t="s">
        <v>799</v>
      </c>
    </row>
    <row r="4" spans="1:3" x14ac:dyDescent="0.3">
      <c r="A4" s="7" t="s">
        <v>330</v>
      </c>
      <c r="B4">
        <v>94</v>
      </c>
      <c r="C4">
        <v>117.55999999999999</v>
      </c>
    </row>
    <row r="5" spans="1:3" x14ac:dyDescent="0.3">
      <c r="A5" s="11" t="s">
        <v>329</v>
      </c>
      <c r="B5">
        <v>2</v>
      </c>
      <c r="C5">
        <v>1.69</v>
      </c>
    </row>
    <row r="6" spans="1:3" x14ac:dyDescent="0.3">
      <c r="A6" s="11" t="s">
        <v>333</v>
      </c>
      <c r="B6">
        <v>7</v>
      </c>
      <c r="C6">
        <v>14.04</v>
      </c>
    </row>
    <row r="7" spans="1:3" x14ac:dyDescent="0.3">
      <c r="A7" s="11" t="s">
        <v>337</v>
      </c>
      <c r="B7">
        <v>4</v>
      </c>
      <c r="C7">
        <v>9.61</v>
      </c>
    </row>
    <row r="8" spans="1:3" x14ac:dyDescent="0.3">
      <c r="A8" s="11" t="s">
        <v>338</v>
      </c>
      <c r="B8">
        <v>5</v>
      </c>
      <c r="C8">
        <v>5.17</v>
      </c>
    </row>
    <row r="9" spans="1:3" x14ac:dyDescent="0.3">
      <c r="A9" s="11" t="s">
        <v>340</v>
      </c>
      <c r="B9">
        <v>8</v>
      </c>
      <c r="C9">
        <v>7.39</v>
      </c>
    </row>
    <row r="10" spans="1:3" x14ac:dyDescent="0.3">
      <c r="A10" s="11" t="s">
        <v>341</v>
      </c>
      <c r="B10">
        <v>2</v>
      </c>
      <c r="C10">
        <v>2.72</v>
      </c>
    </row>
    <row r="11" spans="1:3" x14ac:dyDescent="0.3">
      <c r="A11" s="11" t="s">
        <v>342</v>
      </c>
      <c r="B11">
        <v>22</v>
      </c>
      <c r="C11">
        <v>23.18</v>
      </c>
    </row>
    <row r="12" spans="1:3" x14ac:dyDescent="0.3">
      <c r="A12" s="11" t="s">
        <v>343</v>
      </c>
      <c r="B12">
        <v>6</v>
      </c>
      <c r="C12">
        <v>5.5</v>
      </c>
    </row>
    <row r="13" spans="1:3" x14ac:dyDescent="0.3">
      <c r="A13" s="11" t="s">
        <v>344</v>
      </c>
      <c r="B13">
        <v>22</v>
      </c>
      <c r="C13">
        <v>18.43</v>
      </c>
    </row>
    <row r="14" spans="1:3" x14ac:dyDescent="0.3">
      <c r="A14" s="11" t="s">
        <v>347</v>
      </c>
      <c r="B14">
        <v>0</v>
      </c>
      <c r="C14">
        <v>1.26</v>
      </c>
    </row>
    <row r="15" spans="1:3" x14ac:dyDescent="0.3">
      <c r="A15" s="11" t="s">
        <v>348</v>
      </c>
      <c r="B15">
        <v>3</v>
      </c>
      <c r="C15">
        <v>2.08</v>
      </c>
    </row>
    <row r="16" spans="1:3" x14ac:dyDescent="0.3">
      <c r="A16" s="11" t="s">
        <v>349</v>
      </c>
      <c r="B16">
        <v>2</v>
      </c>
      <c r="C16">
        <v>5.0199999999999996</v>
      </c>
    </row>
    <row r="17" spans="1:3" x14ac:dyDescent="0.3">
      <c r="A17" s="11" t="s">
        <v>350</v>
      </c>
      <c r="B17">
        <v>6</v>
      </c>
      <c r="C17">
        <v>13.33</v>
      </c>
    </row>
    <row r="18" spans="1:3" x14ac:dyDescent="0.3">
      <c r="A18" s="11" t="s">
        <v>352</v>
      </c>
      <c r="B18">
        <v>5</v>
      </c>
      <c r="C18">
        <v>8.14</v>
      </c>
    </row>
    <row r="19" spans="1:3" x14ac:dyDescent="0.3">
      <c r="A19" s="7" t="s">
        <v>355</v>
      </c>
      <c r="B19">
        <v>3</v>
      </c>
      <c r="C19">
        <v>1.1000000000000001</v>
      </c>
    </row>
    <row r="20" spans="1:3" x14ac:dyDescent="0.3">
      <c r="A20" s="11" t="s">
        <v>354</v>
      </c>
      <c r="B20">
        <v>3</v>
      </c>
      <c r="C20">
        <v>1.1000000000000001</v>
      </c>
    </row>
    <row r="21" spans="1:3" x14ac:dyDescent="0.3">
      <c r="A21" s="7" t="s">
        <v>357</v>
      </c>
      <c r="B21">
        <v>1</v>
      </c>
      <c r="C21">
        <v>11.780000000000001</v>
      </c>
    </row>
    <row r="22" spans="1:3" x14ac:dyDescent="0.3">
      <c r="A22" s="11" t="s">
        <v>356</v>
      </c>
      <c r="B22">
        <v>1</v>
      </c>
      <c r="C22">
        <v>10.49</v>
      </c>
    </row>
    <row r="23" spans="1:3" x14ac:dyDescent="0.3">
      <c r="A23" s="11" t="s">
        <v>358</v>
      </c>
      <c r="B23">
        <v>0</v>
      </c>
      <c r="C23">
        <v>0.31</v>
      </c>
    </row>
    <row r="24" spans="1:3" x14ac:dyDescent="0.3">
      <c r="A24" s="11" t="s">
        <v>360</v>
      </c>
      <c r="B24">
        <v>0</v>
      </c>
      <c r="C24">
        <v>0.08</v>
      </c>
    </row>
    <row r="25" spans="1:3" x14ac:dyDescent="0.3">
      <c r="A25" s="11" t="s">
        <v>363</v>
      </c>
      <c r="B25">
        <v>0</v>
      </c>
      <c r="C25">
        <v>0.9</v>
      </c>
    </row>
    <row r="26" spans="1:3" x14ac:dyDescent="0.3">
      <c r="A26" s="7" t="s">
        <v>365</v>
      </c>
      <c r="B26">
        <v>0</v>
      </c>
      <c r="C26">
        <v>0.19</v>
      </c>
    </row>
    <row r="27" spans="1:3" x14ac:dyDescent="0.3">
      <c r="A27" s="11" t="s">
        <v>364</v>
      </c>
      <c r="B27">
        <v>0</v>
      </c>
      <c r="C27">
        <v>0.19</v>
      </c>
    </row>
    <row r="28" spans="1:3" x14ac:dyDescent="0.3">
      <c r="A28" s="7" t="s">
        <v>367</v>
      </c>
      <c r="B28">
        <v>0</v>
      </c>
      <c r="C28">
        <v>0.15</v>
      </c>
    </row>
    <row r="29" spans="1:3" x14ac:dyDescent="0.3">
      <c r="A29" s="11" t="s">
        <v>366</v>
      </c>
      <c r="B29">
        <v>0</v>
      </c>
      <c r="C29">
        <v>0.15</v>
      </c>
    </row>
    <row r="30" spans="1:3" x14ac:dyDescent="0.3">
      <c r="A30" s="7" t="s">
        <v>369</v>
      </c>
      <c r="B30">
        <v>56</v>
      </c>
      <c r="C30">
        <v>49.64</v>
      </c>
    </row>
    <row r="31" spans="1:3" x14ac:dyDescent="0.3">
      <c r="A31" s="11" t="s">
        <v>368</v>
      </c>
      <c r="B31">
        <v>0</v>
      </c>
      <c r="C31">
        <v>1.62</v>
      </c>
    </row>
    <row r="32" spans="1:3" x14ac:dyDescent="0.3">
      <c r="A32" s="11" t="s">
        <v>370</v>
      </c>
      <c r="B32">
        <v>11</v>
      </c>
      <c r="C32">
        <v>10.130000000000001</v>
      </c>
    </row>
    <row r="33" spans="1:3" x14ac:dyDescent="0.3">
      <c r="A33" s="11" t="s">
        <v>371</v>
      </c>
      <c r="B33">
        <v>16</v>
      </c>
      <c r="C33">
        <v>17.36</v>
      </c>
    </row>
    <row r="34" spans="1:3" x14ac:dyDescent="0.3">
      <c r="A34" s="11" t="s">
        <v>372</v>
      </c>
      <c r="B34">
        <v>5</v>
      </c>
      <c r="C34">
        <v>5.2</v>
      </c>
    </row>
    <row r="35" spans="1:3" x14ac:dyDescent="0.3">
      <c r="A35" s="11" t="s">
        <v>373</v>
      </c>
      <c r="B35">
        <v>3</v>
      </c>
      <c r="C35">
        <v>2.12</v>
      </c>
    </row>
    <row r="36" spans="1:3" x14ac:dyDescent="0.3">
      <c r="A36" s="11" t="s">
        <v>374</v>
      </c>
      <c r="B36">
        <v>16</v>
      </c>
      <c r="C36">
        <v>8.74</v>
      </c>
    </row>
    <row r="37" spans="1:3" x14ac:dyDescent="0.3">
      <c r="A37" s="11" t="s">
        <v>375</v>
      </c>
      <c r="B37">
        <v>3</v>
      </c>
      <c r="C37">
        <v>1.24</v>
      </c>
    </row>
    <row r="38" spans="1:3" x14ac:dyDescent="0.3">
      <c r="A38" s="11" t="s">
        <v>376</v>
      </c>
      <c r="B38">
        <v>2</v>
      </c>
      <c r="C38">
        <v>3.23</v>
      </c>
    </row>
    <row r="39" spans="1:3" x14ac:dyDescent="0.3">
      <c r="A39" s="7" t="s">
        <v>378</v>
      </c>
      <c r="B39">
        <v>0</v>
      </c>
      <c r="C39">
        <v>0.67</v>
      </c>
    </row>
    <row r="40" spans="1:3" x14ac:dyDescent="0.3">
      <c r="A40" s="11" t="s">
        <v>377</v>
      </c>
      <c r="B40">
        <v>0</v>
      </c>
      <c r="C40">
        <v>0.67</v>
      </c>
    </row>
    <row r="41" spans="1:3" x14ac:dyDescent="0.3">
      <c r="A41" s="7" t="s">
        <v>380</v>
      </c>
      <c r="B41">
        <v>0</v>
      </c>
      <c r="C41">
        <v>2.48</v>
      </c>
    </row>
    <row r="42" spans="1:3" x14ac:dyDescent="0.3">
      <c r="A42" s="11" t="s">
        <v>379</v>
      </c>
      <c r="B42">
        <v>0</v>
      </c>
      <c r="C42">
        <v>0.23</v>
      </c>
    </row>
    <row r="43" spans="1:3" x14ac:dyDescent="0.3">
      <c r="A43" s="11" t="s">
        <v>381</v>
      </c>
      <c r="B43">
        <v>0</v>
      </c>
      <c r="C43">
        <v>2.25</v>
      </c>
    </row>
    <row r="44" spans="1:3" x14ac:dyDescent="0.3">
      <c r="A44" s="7" t="s">
        <v>383</v>
      </c>
      <c r="B44">
        <v>136</v>
      </c>
      <c r="C44">
        <v>107.51000000000002</v>
      </c>
    </row>
    <row r="45" spans="1:3" x14ac:dyDescent="0.3">
      <c r="A45" s="11" t="s">
        <v>382</v>
      </c>
      <c r="B45">
        <v>0</v>
      </c>
      <c r="C45">
        <v>0.4</v>
      </c>
    </row>
    <row r="46" spans="1:3" x14ac:dyDescent="0.3">
      <c r="A46" s="11" t="s">
        <v>384</v>
      </c>
      <c r="B46">
        <v>1</v>
      </c>
      <c r="C46">
        <v>0.92</v>
      </c>
    </row>
    <row r="47" spans="1:3" x14ac:dyDescent="0.3">
      <c r="A47" s="11" t="s">
        <v>385</v>
      </c>
      <c r="B47">
        <v>20</v>
      </c>
      <c r="C47">
        <v>14.39</v>
      </c>
    </row>
    <row r="48" spans="1:3" x14ac:dyDescent="0.3">
      <c r="A48" s="11" t="s">
        <v>386</v>
      </c>
      <c r="B48">
        <v>0</v>
      </c>
      <c r="C48">
        <v>0</v>
      </c>
    </row>
    <row r="49" spans="1:3" x14ac:dyDescent="0.3">
      <c r="A49" s="11" t="s">
        <v>387</v>
      </c>
      <c r="B49">
        <v>74</v>
      </c>
      <c r="C49">
        <v>57.26</v>
      </c>
    </row>
    <row r="50" spans="1:3" x14ac:dyDescent="0.3">
      <c r="A50" s="11" t="s">
        <v>388</v>
      </c>
      <c r="B50">
        <v>9</v>
      </c>
      <c r="C50">
        <v>5.15</v>
      </c>
    </row>
    <row r="51" spans="1:3" x14ac:dyDescent="0.3">
      <c r="A51" s="11" t="s">
        <v>389</v>
      </c>
      <c r="B51">
        <v>0</v>
      </c>
      <c r="C51">
        <v>0.06</v>
      </c>
    </row>
    <row r="52" spans="1:3" x14ac:dyDescent="0.3">
      <c r="A52" s="11" t="s">
        <v>390</v>
      </c>
      <c r="B52">
        <v>6</v>
      </c>
      <c r="C52">
        <v>5.62</v>
      </c>
    </row>
    <row r="53" spans="1:3" x14ac:dyDescent="0.3">
      <c r="A53" s="11" t="s">
        <v>391</v>
      </c>
      <c r="B53">
        <v>26</v>
      </c>
      <c r="C53">
        <v>22.53</v>
      </c>
    </row>
    <row r="54" spans="1:3" x14ac:dyDescent="0.3">
      <c r="A54" s="11" t="s">
        <v>392</v>
      </c>
      <c r="B54">
        <v>0</v>
      </c>
      <c r="C54">
        <v>1.18</v>
      </c>
    </row>
    <row r="55" spans="1:3" x14ac:dyDescent="0.3">
      <c r="A55" s="7" t="s">
        <v>394</v>
      </c>
      <c r="B55">
        <v>0</v>
      </c>
      <c r="C55">
        <v>0.14000000000000001</v>
      </c>
    </row>
    <row r="56" spans="1:3" x14ac:dyDescent="0.3">
      <c r="A56" s="11" t="s">
        <v>393</v>
      </c>
      <c r="B56">
        <v>0</v>
      </c>
      <c r="C56">
        <v>0.14000000000000001</v>
      </c>
    </row>
    <row r="57" spans="1:3" x14ac:dyDescent="0.3">
      <c r="A57" s="7" t="s">
        <v>396</v>
      </c>
      <c r="B57">
        <v>2</v>
      </c>
      <c r="C57">
        <v>5.94</v>
      </c>
    </row>
    <row r="58" spans="1:3" x14ac:dyDescent="0.3">
      <c r="A58" s="11" t="s">
        <v>395</v>
      </c>
      <c r="B58">
        <v>0</v>
      </c>
      <c r="C58">
        <v>0</v>
      </c>
    </row>
    <row r="59" spans="1:3" x14ac:dyDescent="0.3">
      <c r="A59" s="11" t="s">
        <v>397</v>
      </c>
      <c r="B59">
        <v>0</v>
      </c>
      <c r="C59">
        <v>0.45</v>
      </c>
    </row>
    <row r="60" spans="1:3" x14ac:dyDescent="0.3">
      <c r="A60" s="11" t="s">
        <v>398</v>
      </c>
      <c r="B60">
        <v>0</v>
      </c>
      <c r="C60">
        <v>0.11</v>
      </c>
    </row>
    <row r="61" spans="1:3" x14ac:dyDescent="0.3">
      <c r="A61" s="11" t="s">
        <v>399</v>
      </c>
      <c r="B61">
        <v>2</v>
      </c>
      <c r="C61">
        <v>5.33</v>
      </c>
    </row>
    <row r="62" spans="1:3" x14ac:dyDescent="0.3">
      <c r="A62" s="11" t="s">
        <v>400</v>
      </c>
      <c r="B62">
        <v>0</v>
      </c>
      <c r="C62">
        <v>0.05</v>
      </c>
    </row>
    <row r="63" spans="1:3" x14ac:dyDescent="0.3">
      <c r="A63" s="7" t="s">
        <v>402</v>
      </c>
      <c r="B63">
        <v>42</v>
      </c>
      <c r="C63">
        <v>4.84</v>
      </c>
    </row>
    <row r="64" spans="1:3" x14ac:dyDescent="0.3">
      <c r="A64" s="11" t="s">
        <v>401</v>
      </c>
      <c r="B64">
        <v>32</v>
      </c>
      <c r="C64">
        <v>2.9</v>
      </c>
    </row>
    <row r="65" spans="1:3" x14ac:dyDescent="0.3">
      <c r="A65" s="11" t="s">
        <v>403</v>
      </c>
      <c r="B65">
        <v>10</v>
      </c>
      <c r="C65">
        <v>1.94</v>
      </c>
    </row>
    <row r="66" spans="1:3" x14ac:dyDescent="0.3">
      <c r="A66" s="7" t="s">
        <v>405</v>
      </c>
      <c r="B66">
        <v>0</v>
      </c>
      <c r="C66">
        <v>0.03</v>
      </c>
    </row>
    <row r="67" spans="1:3" x14ac:dyDescent="0.3">
      <c r="A67" s="11" t="s">
        <v>404</v>
      </c>
      <c r="B67">
        <v>0</v>
      </c>
      <c r="C67">
        <v>0.03</v>
      </c>
    </row>
    <row r="68" spans="1:3" x14ac:dyDescent="0.3">
      <c r="A68" s="11" t="s">
        <v>406</v>
      </c>
    </row>
    <row r="69" spans="1:3" x14ac:dyDescent="0.3">
      <c r="A69" s="7" t="s">
        <v>408</v>
      </c>
      <c r="B69">
        <v>77</v>
      </c>
      <c r="C69">
        <v>49.959999999999994</v>
      </c>
    </row>
    <row r="70" spans="1:3" x14ac:dyDescent="0.3">
      <c r="A70" s="11" t="s">
        <v>407</v>
      </c>
      <c r="B70">
        <v>20</v>
      </c>
      <c r="C70">
        <v>17.54</v>
      </c>
    </row>
    <row r="71" spans="1:3" x14ac:dyDescent="0.3">
      <c r="A71" s="11" t="s">
        <v>409</v>
      </c>
      <c r="B71">
        <v>3</v>
      </c>
      <c r="C71">
        <v>1.57</v>
      </c>
    </row>
    <row r="72" spans="1:3" x14ac:dyDescent="0.3">
      <c r="A72" s="11" t="s">
        <v>410</v>
      </c>
      <c r="B72">
        <v>1</v>
      </c>
      <c r="C72">
        <v>0.25</v>
      </c>
    </row>
    <row r="73" spans="1:3" x14ac:dyDescent="0.3">
      <c r="A73" s="11" t="s">
        <v>411</v>
      </c>
      <c r="B73">
        <v>12</v>
      </c>
      <c r="C73">
        <v>1.68</v>
      </c>
    </row>
    <row r="74" spans="1:3" x14ac:dyDescent="0.3">
      <c r="A74" s="11" t="s">
        <v>412</v>
      </c>
      <c r="B74">
        <v>10</v>
      </c>
      <c r="C74">
        <v>12.27</v>
      </c>
    </row>
    <row r="75" spans="1:3" x14ac:dyDescent="0.3">
      <c r="A75" s="11" t="s">
        <v>413</v>
      </c>
      <c r="B75">
        <v>0</v>
      </c>
      <c r="C75">
        <v>1.28</v>
      </c>
    </row>
    <row r="76" spans="1:3" x14ac:dyDescent="0.3">
      <c r="A76" s="11" t="s">
        <v>414</v>
      </c>
      <c r="B76">
        <v>0</v>
      </c>
      <c r="C76">
        <v>0.55000000000000004</v>
      </c>
    </row>
    <row r="77" spans="1:3" x14ac:dyDescent="0.3">
      <c r="A77" s="11" t="s">
        <v>415</v>
      </c>
      <c r="B77">
        <v>19</v>
      </c>
      <c r="C77">
        <v>7.25</v>
      </c>
    </row>
    <row r="78" spans="1:3" x14ac:dyDescent="0.3">
      <c r="A78" s="11" t="s">
        <v>416</v>
      </c>
      <c r="B78">
        <v>0</v>
      </c>
      <c r="C78">
        <v>0.01</v>
      </c>
    </row>
    <row r="79" spans="1:3" x14ac:dyDescent="0.3">
      <c r="A79" s="11" t="s">
        <v>417</v>
      </c>
      <c r="B79">
        <v>8</v>
      </c>
      <c r="C79">
        <v>4.76</v>
      </c>
    </row>
    <row r="80" spans="1:3" x14ac:dyDescent="0.3">
      <c r="A80" s="11" t="s">
        <v>418</v>
      </c>
      <c r="B80">
        <v>2</v>
      </c>
      <c r="C80">
        <v>2.5099999999999998</v>
      </c>
    </row>
    <row r="81" spans="1:3" x14ac:dyDescent="0.3">
      <c r="A81" s="11" t="s">
        <v>419</v>
      </c>
      <c r="B81">
        <v>2</v>
      </c>
      <c r="C81">
        <v>0.28999999999999998</v>
      </c>
    </row>
    <row r="82" spans="1:3" x14ac:dyDescent="0.3">
      <c r="A82" s="7" t="s">
        <v>421</v>
      </c>
      <c r="B82">
        <v>8</v>
      </c>
      <c r="C82">
        <v>5.38</v>
      </c>
    </row>
    <row r="83" spans="1:3" x14ac:dyDescent="0.3">
      <c r="A83" s="11" t="s">
        <v>420</v>
      </c>
      <c r="B83">
        <v>8</v>
      </c>
      <c r="C83">
        <v>5.38</v>
      </c>
    </row>
    <row r="84" spans="1:3" x14ac:dyDescent="0.3">
      <c r="A84" s="7" t="s">
        <v>423</v>
      </c>
      <c r="B84">
        <v>1</v>
      </c>
      <c r="C84">
        <v>0.39</v>
      </c>
    </row>
    <row r="85" spans="1:3" x14ac:dyDescent="0.3">
      <c r="A85" s="11" t="s">
        <v>422</v>
      </c>
      <c r="B85">
        <v>0</v>
      </c>
      <c r="C85">
        <v>0.14000000000000001</v>
      </c>
    </row>
    <row r="86" spans="1:3" x14ac:dyDescent="0.3">
      <c r="A86" s="11" t="s">
        <v>424</v>
      </c>
      <c r="B86">
        <v>1</v>
      </c>
      <c r="C86">
        <v>0.25</v>
      </c>
    </row>
    <row r="87" spans="1:3" x14ac:dyDescent="0.3">
      <c r="A87" s="7" t="s">
        <v>426</v>
      </c>
      <c r="B87">
        <v>0</v>
      </c>
      <c r="C87">
        <v>0.05</v>
      </c>
    </row>
    <row r="88" spans="1:3" x14ac:dyDescent="0.3">
      <c r="A88" s="11" t="s">
        <v>425</v>
      </c>
      <c r="B88">
        <v>0</v>
      </c>
      <c r="C88">
        <v>0.05</v>
      </c>
    </row>
    <row r="89" spans="1:3" x14ac:dyDescent="0.3">
      <c r="A89" s="7" t="s">
        <v>428</v>
      </c>
      <c r="B89">
        <v>834</v>
      </c>
      <c r="C89">
        <v>924.05999999999983</v>
      </c>
    </row>
    <row r="90" spans="1:3" x14ac:dyDescent="0.3">
      <c r="A90" s="11" t="s">
        <v>427</v>
      </c>
      <c r="B90">
        <v>7</v>
      </c>
      <c r="C90">
        <v>12.709999999999999</v>
      </c>
    </row>
    <row r="91" spans="1:3" x14ac:dyDescent="0.3">
      <c r="A91" s="11" t="s">
        <v>429</v>
      </c>
      <c r="B91">
        <v>5</v>
      </c>
      <c r="C91">
        <v>9.1300000000000008</v>
      </c>
    </row>
    <row r="92" spans="1:3" x14ac:dyDescent="0.3">
      <c r="A92" s="11" t="s">
        <v>430</v>
      </c>
      <c r="B92">
        <v>1</v>
      </c>
      <c r="C92">
        <v>1.61</v>
      </c>
    </row>
    <row r="93" spans="1:3" x14ac:dyDescent="0.3">
      <c r="A93" s="11" t="s">
        <v>431</v>
      </c>
      <c r="B93">
        <v>32</v>
      </c>
      <c r="C93">
        <v>14.54</v>
      </c>
    </row>
    <row r="94" spans="1:3" x14ac:dyDescent="0.3">
      <c r="A94" s="11" t="s">
        <v>432</v>
      </c>
      <c r="B94">
        <v>12</v>
      </c>
      <c r="C94">
        <v>12.93</v>
      </c>
    </row>
    <row r="95" spans="1:3" x14ac:dyDescent="0.3">
      <c r="A95" s="11" t="s">
        <v>433</v>
      </c>
      <c r="B95">
        <v>0</v>
      </c>
      <c r="C95">
        <v>3.42</v>
      </c>
    </row>
    <row r="96" spans="1:3" x14ac:dyDescent="0.3">
      <c r="A96" s="11" t="s">
        <v>434</v>
      </c>
      <c r="B96">
        <v>4</v>
      </c>
      <c r="C96">
        <v>8.61</v>
      </c>
    </row>
    <row r="97" spans="1:3" x14ac:dyDescent="0.3">
      <c r="A97" s="11" t="s">
        <v>435</v>
      </c>
      <c r="B97">
        <v>1</v>
      </c>
      <c r="C97">
        <v>2.08</v>
      </c>
    </row>
    <row r="98" spans="1:3" x14ac:dyDescent="0.3">
      <c r="A98" s="11" t="s">
        <v>436</v>
      </c>
      <c r="B98">
        <v>0</v>
      </c>
      <c r="C98">
        <v>0.69</v>
      </c>
    </row>
    <row r="99" spans="1:3" x14ac:dyDescent="0.3">
      <c r="A99" s="11" t="s">
        <v>437</v>
      </c>
      <c r="B99">
        <v>0</v>
      </c>
      <c r="C99">
        <v>0.45</v>
      </c>
    </row>
    <row r="100" spans="1:3" x14ac:dyDescent="0.3">
      <c r="A100" s="11" t="s">
        <v>438</v>
      </c>
      <c r="B100">
        <v>0</v>
      </c>
      <c r="C100">
        <v>0</v>
      </c>
    </row>
    <row r="101" spans="1:3" x14ac:dyDescent="0.3">
      <c r="A101" s="11" t="s">
        <v>439</v>
      </c>
      <c r="B101">
        <v>0</v>
      </c>
      <c r="C101">
        <v>4</v>
      </c>
    </row>
    <row r="102" spans="1:3" x14ac:dyDescent="0.3">
      <c r="A102" s="11" t="s">
        <v>440</v>
      </c>
      <c r="B102">
        <v>65</v>
      </c>
      <c r="C102">
        <v>73.400000000000006</v>
      </c>
    </row>
    <row r="103" spans="1:3" x14ac:dyDescent="0.3">
      <c r="A103" s="11" t="s">
        <v>441</v>
      </c>
      <c r="B103">
        <v>4</v>
      </c>
      <c r="C103">
        <v>11.850000000000001</v>
      </c>
    </row>
    <row r="104" spans="1:3" x14ac:dyDescent="0.3">
      <c r="A104" s="11" t="s">
        <v>442</v>
      </c>
      <c r="B104">
        <v>41</v>
      </c>
      <c r="C104">
        <v>65.39</v>
      </c>
    </row>
    <row r="105" spans="1:3" x14ac:dyDescent="0.3">
      <c r="A105" s="11" t="s">
        <v>443</v>
      </c>
      <c r="B105">
        <v>56</v>
      </c>
      <c r="C105">
        <v>57.82</v>
      </c>
    </row>
    <row r="106" spans="1:3" x14ac:dyDescent="0.3">
      <c r="A106" s="11" t="s">
        <v>444</v>
      </c>
      <c r="B106">
        <v>2</v>
      </c>
      <c r="C106">
        <v>2.13</v>
      </c>
    </row>
    <row r="107" spans="1:3" x14ac:dyDescent="0.3">
      <c r="A107" s="11" t="s">
        <v>445</v>
      </c>
      <c r="B107">
        <v>1</v>
      </c>
      <c r="C107">
        <v>1.4</v>
      </c>
    </row>
    <row r="108" spans="1:3" x14ac:dyDescent="0.3">
      <c r="A108" s="11" t="s">
        <v>446</v>
      </c>
      <c r="B108">
        <v>1</v>
      </c>
      <c r="C108">
        <v>1.5</v>
      </c>
    </row>
    <row r="109" spans="1:3" x14ac:dyDescent="0.3">
      <c r="A109" s="11" t="s">
        <v>447</v>
      </c>
      <c r="B109">
        <v>0</v>
      </c>
      <c r="C109">
        <v>0</v>
      </c>
    </row>
    <row r="110" spans="1:3" x14ac:dyDescent="0.3">
      <c r="A110" s="11" t="s">
        <v>448</v>
      </c>
      <c r="B110">
        <v>3</v>
      </c>
      <c r="C110">
        <v>1.07</v>
      </c>
    </row>
    <row r="111" spans="1:3" x14ac:dyDescent="0.3">
      <c r="A111" s="11" t="s">
        <v>449</v>
      </c>
      <c r="B111">
        <v>0</v>
      </c>
      <c r="C111">
        <v>5.78</v>
      </c>
    </row>
    <row r="112" spans="1:3" x14ac:dyDescent="0.3">
      <c r="A112" s="11" t="s">
        <v>450</v>
      </c>
      <c r="B112">
        <v>0</v>
      </c>
      <c r="C112">
        <v>7.63</v>
      </c>
    </row>
    <row r="113" spans="1:3" x14ac:dyDescent="0.3">
      <c r="A113" s="11" t="s">
        <v>451</v>
      </c>
      <c r="B113">
        <v>1</v>
      </c>
      <c r="C113">
        <v>11.95</v>
      </c>
    </row>
    <row r="114" spans="1:3" x14ac:dyDescent="0.3">
      <c r="A114" s="11" t="s">
        <v>452</v>
      </c>
      <c r="B114">
        <v>0</v>
      </c>
      <c r="C114">
        <v>0.87</v>
      </c>
    </row>
    <row r="115" spans="1:3" x14ac:dyDescent="0.3">
      <c r="A115" s="11" t="s">
        <v>453</v>
      </c>
      <c r="B115">
        <v>9</v>
      </c>
      <c r="C115">
        <v>5.3</v>
      </c>
    </row>
    <row r="116" spans="1:3" x14ac:dyDescent="0.3">
      <c r="A116" s="11" t="s">
        <v>454</v>
      </c>
      <c r="B116">
        <v>3</v>
      </c>
      <c r="C116">
        <v>4.3699999999999992</v>
      </c>
    </row>
    <row r="117" spans="1:3" x14ac:dyDescent="0.3">
      <c r="A117" s="11" t="s">
        <v>455</v>
      </c>
      <c r="B117">
        <v>9</v>
      </c>
      <c r="C117">
        <v>12.06</v>
      </c>
    </row>
    <row r="118" spans="1:3" x14ac:dyDescent="0.3">
      <c r="A118" s="11" t="s">
        <v>456</v>
      </c>
      <c r="B118">
        <v>0</v>
      </c>
      <c r="C118">
        <v>3.03</v>
      </c>
    </row>
    <row r="119" spans="1:3" x14ac:dyDescent="0.3">
      <c r="A119" s="11" t="s">
        <v>457</v>
      </c>
      <c r="B119">
        <v>13</v>
      </c>
      <c r="C119">
        <v>6.5200000000000005</v>
      </c>
    </row>
    <row r="120" spans="1:3" x14ac:dyDescent="0.3">
      <c r="A120" s="11" t="s">
        <v>458</v>
      </c>
      <c r="B120">
        <v>8</v>
      </c>
      <c r="C120">
        <v>6.78</v>
      </c>
    </row>
    <row r="121" spans="1:3" x14ac:dyDescent="0.3">
      <c r="A121" s="11" t="s">
        <v>459</v>
      </c>
      <c r="B121">
        <v>4</v>
      </c>
      <c r="C121">
        <v>11.54</v>
      </c>
    </row>
    <row r="122" spans="1:3" x14ac:dyDescent="0.3">
      <c r="A122" s="11" t="s">
        <v>460</v>
      </c>
      <c r="B122">
        <v>2</v>
      </c>
      <c r="C122">
        <v>5.14</v>
      </c>
    </row>
    <row r="123" spans="1:3" x14ac:dyDescent="0.3">
      <c r="A123" s="11" t="s">
        <v>461</v>
      </c>
      <c r="B123">
        <v>16</v>
      </c>
      <c r="C123">
        <v>8.16</v>
      </c>
    </row>
    <row r="124" spans="1:3" x14ac:dyDescent="0.3">
      <c r="A124" s="11" t="s">
        <v>462</v>
      </c>
      <c r="B124">
        <v>26</v>
      </c>
      <c r="C124">
        <v>21.64</v>
      </c>
    </row>
    <row r="125" spans="1:3" x14ac:dyDescent="0.3">
      <c r="A125" s="11" t="s">
        <v>463</v>
      </c>
      <c r="B125">
        <v>10</v>
      </c>
      <c r="C125">
        <v>5.9</v>
      </c>
    </row>
    <row r="126" spans="1:3" x14ac:dyDescent="0.3">
      <c r="A126" s="11" t="s">
        <v>464</v>
      </c>
      <c r="B126">
        <v>10</v>
      </c>
      <c r="C126">
        <v>7.54</v>
      </c>
    </row>
    <row r="127" spans="1:3" x14ac:dyDescent="0.3">
      <c r="A127" s="11" t="s">
        <v>465</v>
      </c>
      <c r="B127">
        <v>10</v>
      </c>
      <c r="C127">
        <v>9.2899999999999991</v>
      </c>
    </row>
    <row r="128" spans="1:3" x14ac:dyDescent="0.3">
      <c r="A128" s="11" t="s">
        <v>466</v>
      </c>
      <c r="B128">
        <v>10</v>
      </c>
      <c r="C128">
        <v>4.67</v>
      </c>
    </row>
    <row r="129" spans="1:3" x14ac:dyDescent="0.3">
      <c r="A129" s="11" t="s">
        <v>467</v>
      </c>
      <c r="B129">
        <v>17</v>
      </c>
      <c r="C129">
        <v>32.99</v>
      </c>
    </row>
    <row r="130" spans="1:3" x14ac:dyDescent="0.3">
      <c r="A130" s="11" t="s">
        <v>468</v>
      </c>
      <c r="B130">
        <v>10</v>
      </c>
      <c r="C130">
        <v>10.54</v>
      </c>
    </row>
    <row r="131" spans="1:3" x14ac:dyDescent="0.3">
      <c r="A131" s="11" t="s">
        <v>469</v>
      </c>
      <c r="B131">
        <v>11</v>
      </c>
      <c r="C131">
        <v>15.46</v>
      </c>
    </row>
    <row r="132" spans="1:3" x14ac:dyDescent="0.3">
      <c r="A132" s="11" t="s">
        <v>470</v>
      </c>
      <c r="B132">
        <v>14</v>
      </c>
      <c r="C132">
        <v>9.52</v>
      </c>
    </row>
    <row r="133" spans="1:3" x14ac:dyDescent="0.3">
      <c r="A133" s="11" t="s">
        <v>471</v>
      </c>
      <c r="B133">
        <v>39</v>
      </c>
      <c r="C133">
        <v>10.24</v>
      </c>
    </row>
    <row r="134" spans="1:3" x14ac:dyDescent="0.3">
      <c r="A134" s="11" t="s">
        <v>472</v>
      </c>
      <c r="B134">
        <v>12</v>
      </c>
      <c r="C134">
        <v>10.74</v>
      </c>
    </row>
    <row r="135" spans="1:3" x14ac:dyDescent="0.3">
      <c r="A135" s="11" t="s">
        <v>473</v>
      </c>
      <c r="B135">
        <v>32</v>
      </c>
      <c r="C135">
        <v>8.99</v>
      </c>
    </row>
    <row r="136" spans="1:3" x14ac:dyDescent="0.3">
      <c r="A136" s="11" t="s">
        <v>474</v>
      </c>
      <c r="B136">
        <v>1</v>
      </c>
      <c r="C136">
        <v>1.9</v>
      </c>
    </row>
    <row r="137" spans="1:3" x14ac:dyDescent="0.3">
      <c r="A137" s="11" t="s">
        <v>476</v>
      </c>
      <c r="B137">
        <v>38</v>
      </c>
      <c r="C137">
        <v>19.23</v>
      </c>
    </row>
    <row r="138" spans="1:3" x14ac:dyDescent="0.3">
      <c r="A138" s="11" t="s">
        <v>477</v>
      </c>
      <c r="B138">
        <v>9</v>
      </c>
      <c r="C138">
        <v>7.88</v>
      </c>
    </row>
    <row r="139" spans="1:3" x14ac:dyDescent="0.3">
      <c r="A139" s="11" t="s">
        <v>478</v>
      </c>
      <c r="B139">
        <v>0</v>
      </c>
      <c r="C139">
        <v>5.3</v>
      </c>
    </row>
    <row r="140" spans="1:3" x14ac:dyDescent="0.3">
      <c r="A140" s="11" t="s">
        <v>475</v>
      </c>
      <c r="B140">
        <v>14</v>
      </c>
      <c r="C140">
        <v>29.8</v>
      </c>
    </row>
    <row r="141" spans="1:3" x14ac:dyDescent="0.3">
      <c r="A141" s="11" t="s">
        <v>479</v>
      </c>
      <c r="B141">
        <v>7</v>
      </c>
      <c r="C141">
        <v>4.51</v>
      </c>
    </row>
    <row r="142" spans="1:3" x14ac:dyDescent="0.3">
      <c r="A142" s="11" t="s">
        <v>480</v>
      </c>
      <c r="B142">
        <v>0</v>
      </c>
      <c r="C142">
        <v>1.4</v>
      </c>
    </row>
    <row r="143" spans="1:3" x14ac:dyDescent="0.3">
      <c r="A143" s="11" t="s">
        <v>481</v>
      </c>
      <c r="B143">
        <v>0</v>
      </c>
      <c r="C143">
        <v>1.78</v>
      </c>
    </row>
    <row r="144" spans="1:3" x14ac:dyDescent="0.3">
      <c r="A144" s="11" t="s">
        <v>482</v>
      </c>
      <c r="B144">
        <v>5</v>
      </c>
      <c r="C144">
        <v>2.44</v>
      </c>
    </row>
    <row r="145" spans="1:3" x14ac:dyDescent="0.3">
      <c r="A145" s="11" t="s">
        <v>483</v>
      </c>
      <c r="B145">
        <v>19</v>
      </c>
      <c r="C145">
        <v>19.57</v>
      </c>
    </row>
    <row r="146" spans="1:3" x14ac:dyDescent="0.3">
      <c r="A146" s="11" t="s">
        <v>484</v>
      </c>
      <c r="B146">
        <v>12</v>
      </c>
      <c r="C146">
        <v>15.76</v>
      </c>
    </row>
    <row r="147" spans="1:3" x14ac:dyDescent="0.3">
      <c r="A147" s="11" t="s">
        <v>485</v>
      </c>
      <c r="B147">
        <v>9</v>
      </c>
      <c r="C147">
        <v>6.93</v>
      </c>
    </row>
    <row r="148" spans="1:3" x14ac:dyDescent="0.3">
      <c r="A148" s="11" t="s">
        <v>486</v>
      </c>
      <c r="B148">
        <v>3</v>
      </c>
      <c r="C148">
        <v>4.8099999999999996</v>
      </c>
    </row>
    <row r="149" spans="1:3" x14ac:dyDescent="0.3">
      <c r="A149" s="11" t="s">
        <v>487</v>
      </c>
      <c r="B149">
        <v>3</v>
      </c>
      <c r="C149">
        <v>4.29</v>
      </c>
    </row>
    <row r="150" spans="1:3" x14ac:dyDescent="0.3">
      <c r="A150" s="11" t="s">
        <v>488</v>
      </c>
      <c r="B150">
        <v>5</v>
      </c>
      <c r="C150">
        <v>2.08</v>
      </c>
    </row>
    <row r="151" spans="1:3" x14ac:dyDescent="0.3">
      <c r="A151" s="11" t="s">
        <v>489</v>
      </c>
      <c r="B151">
        <v>4</v>
      </c>
      <c r="C151">
        <v>11.139999999999999</v>
      </c>
    </row>
    <row r="152" spans="1:3" x14ac:dyDescent="0.3">
      <c r="A152" s="11" t="s">
        <v>490</v>
      </c>
      <c r="B152">
        <v>0</v>
      </c>
      <c r="C152">
        <v>0.71</v>
      </c>
    </row>
    <row r="153" spans="1:3" x14ac:dyDescent="0.3">
      <c r="A153" s="11" t="s">
        <v>491</v>
      </c>
      <c r="B153">
        <v>4</v>
      </c>
      <c r="C153">
        <v>0.48</v>
      </c>
    </row>
    <row r="154" spans="1:3" x14ac:dyDescent="0.3">
      <c r="A154" s="11" t="s">
        <v>494</v>
      </c>
      <c r="B154">
        <v>0</v>
      </c>
      <c r="C154">
        <v>0.06</v>
      </c>
    </row>
    <row r="155" spans="1:3" x14ac:dyDescent="0.3">
      <c r="A155" s="11" t="s">
        <v>495</v>
      </c>
      <c r="B155">
        <v>5</v>
      </c>
      <c r="C155">
        <v>1.19</v>
      </c>
    </row>
    <row r="156" spans="1:3" x14ac:dyDescent="0.3">
      <c r="A156" s="11" t="s">
        <v>496</v>
      </c>
      <c r="B156">
        <v>0</v>
      </c>
      <c r="C156">
        <v>2.5299999999999998</v>
      </c>
    </row>
    <row r="157" spans="1:3" x14ac:dyDescent="0.3">
      <c r="A157" s="11" t="s">
        <v>492</v>
      </c>
      <c r="B157">
        <v>3</v>
      </c>
      <c r="C157">
        <v>4</v>
      </c>
    </row>
    <row r="158" spans="1:3" x14ac:dyDescent="0.3">
      <c r="A158" s="11" t="s">
        <v>493</v>
      </c>
      <c r="B158">
        <v>6</v>
      </c>
      <c r="C158">
        <v>15.7</v>
      </c>
    </row>
    <row r="159" spans="1:3" x14ac:dyDescent="0.3">
      <c r="A159" s="11" t="s">
        <v>497</v>
      </c>
      <c r="B159">
        <v>24</v>
      </c>
      <c r="C159">
        <v>14.96</v>
      </c>
    </row>
    <row r="160" spans="1:3" x14ac:dyDescent="0.3">
      <c r="A160" s="11" t="s">
        <v>498</v>
      </c>
      <c r="B160">
        <v>5</v>
      </c>
      <c r="C160">
        <v>7.25</v>
      </c>
    </row>
    <row r="161" spans="1:3" x14ac:dyDescent="0.3">
      <c r="A161" s="11" t="s">
        <v>499</v>
      </c>
      <c r="B161">
        <v>6</v>
      </c>
      <c r="C161">
        <v>10.78</v>
      </c>
    </row>
    <row r="162" spans="1:3" x14ac:dyDescent="0.3">
      <c r="A162" s="11" t="s">
        <v>500</v>
      </c>
      <c r="B162">
        <v>1</v>
      </c>
      <c r="C162">
        <v>1.92</v>
      </c>
    </row>
    <row r="163" spans="1:3" x14ac:dyDescent="0.3">
      <c r="A163" s="11" t="s">
        <v>501</v>
      </c>
      <c r="B163">
        <v>12</v>
      </c>
      <c r="C163">
        <v>7.96</v>
      </c>
    </row>
    <row r="164" spans="1:3" x14ac:dyDescent="0.3">
      <c r="A164" s="11" t="s">
        <v>502</v>
      </c>
      <c r="B164">
        <v>4</v>
      </c>
      <c r="C164">
        <v>7.31</v>
      </c>
    </row>
    <row r="165" spans="1:3" x14ac:dyDescent="0.3">
      <c r="A165" s="11" t="s">
        <v>503</v>
      </c>
      <c r="B165">
        <v>18</v>
      </c>
      <c r="C165">
        <v>13.5</v>
      </c>
    </row>
    <row r="166" spans="1:3" x14ac:dyDescent="0.3">
      <c r="A166" s="11" t="s">
        <v>504</v>
      </c>
      <c r="B166">
        <v>38</v>
      </c>
      <c r="C166">
        <v>76.89</v>
      </c>
    </row>
    <row r="167" spans="1:3" x14ac:dyDescent="0.3">
      <c r="A167" s="11" t="s">
        <v>505</v>
      </c>
      <c r="B167">
        <v>1</v>
      </c>
      <c r="C167">
        <v>2.59</v>
      </c>
    </row>
    <row r="168" spans="1:3" x14ac:dyDescent="0.3">
      <c r="A168" s="11" t="s">
        <v>506</v>
      </c>
      <c r="B168">
        <v>4</v>
      </c>
      <c r="C168">
        <v>2.88</v>
      </c>
    </row>
    <row r="169" spans="1:3" x14ac:dyDescent="0.3">
      <c r="A169" s="11" t="s">
        <v>507</v>
      </c>
      <c r="B169">
        <v>17</v>
      </c>
      <c r="C169">
        <v>19.71</v>
      </c>
    </row>
    <row r="170" spans="1:3" x14ac:dyDescent="0.3">
      <c r="A170" s="11" t="s">
        <v>508</v>
      </c>
      <c r="B170">
        <v>0</v>
      </c>
      <c r="C170">
        <v>1.7</v>
      </c>
    </row>
    <row r="171" spans="1:3" x14ac:dyDescent="0.3">
      <c r="A171" s="11" t="s">
        <v>509</v>
      </c>
      <c r="B171">
        <v>1</v>
      </c>
      <c r="C171">
        <v>3.2800000000000002</v>
      </c>
    </row>
    <row r="172" spans="1:3" x14ac:dyDescent="0.3">
      <c r="A172" s="11" t="s">
        <v>510</v>
      </c>
      <c r="B172">
        <v>1</v>
      </c>
      <c r="C172">
        <v>0.98</v>
      </c>
    </row>
    <row r="173" spans="1:3" x14ac:dyDescent="0.3">
      <c r="A173" s="11" t="s">
        <v>511</v>
      </c>
      <c r="B173">
        <v>10</v>
      </c>
      <c r="C173">
        <v>7.91</v>
      </c>
    </row>
    <row r="174" spans="1:3" x14ac:dyDescent="0.3">
      <c r="A174" s="11" t="s">
        <v>512</v>
      </c>
      <c r="B174">
        <v>1</v>
      </c>
      <c r="C174">
        <v>7.5299999999999994</v>
      </c>
    </row>
    <row r="175" spans="1:3" x14ac:dyDescent="0.3">
      <c r="A175" s="11" t="s">
        <v>513</v>
      </c>
      <c r="B175">
        <v>4</v>
      </c>
      <c r="C175">
        <v>23.99</v>
      </c>
    </row>
    <row r="176" spans="1:3" x14ac:dyDescent="0.3">
      <c r="A176" s="11" t="s">
        <v>514</v>
      </c>
      <c r="B176">
        <v>8</v>
      </c>
      <c r="C176">
        <v>7.07</v>
      </c>
    </row>
    <row r="177" spans="1:3" x14ac:dyDescent="0.3">
      <c r="A177" s="11" t="s">
        <v>515</v>
      </c>
      <c r="B177">
        <v>1</v>
      </c>
      <c r="C177">
        <v>3.28</v>
      </c>
    </row>
    <row r="178" spans="1:3" x14ac:dyDescent="0.3">
      <c r="A178" s="11" t="s">
        <v>516</v>
      </c>
      <c r="B178">
        <v>16</v>
      </c>
      <c r="C178">
        <v>8.2199999999999989</v>
      </c>
    </row>
    <row r="179" spans="1:3" x14ac:dyDescent="0.3">
      <c r="A179" s="11" t="s">
        <v>517</v>
      </c>
      <c r="B179">
        <v>0</v>
      </c>
      <c r="C179">
        <v>0.02</v>
      </c>
    </row>
    <row r="180" spans="1:3" x14ac:dyDescent="0.3">
      <c r="A180" s="11" t="s">
        <v>518</v>
      </c>
      <c r="B180">
        <v>13</v>
      </c>
      <c r="C180">
        <v>7.14</v>
      </c>
    </row>
    <row r="181" spans="1:3" x14ac:dyDescent="0.3">
      <c r="A181" s="11" t="s">
        <v>519</v>
      </c>
      <c r="B181">
        <v>1</v>
      </c>
      <c r="C181">
        <v>2.3199999999999998</v>
      </c>
    </row>
    <row r="182" spans="1:3" x14ac:dyDescent="0.3">
      <c r="A182" s="7" t="s">
        <v>521</v>
      </c>
      <c r="B182">
        <v>16</v>
      </c>
      <c r="C182">
        <v>33.61</v>
      </c>
    </row>
    <row r="183" spans="1:3" x14ac:dyDescent="0.3">
      <c r="A183" s="11" t="s">
        <v>520</v>
      </c>
      <c r="B183">
        <v>9</v>
      </c>
      <c r="C183">
        <v>2.87</v>
      </c>
    </row>
    <row r="184" spans="1:3" x14ac:dyDescent="0.3">
      <c r="A184" s="11" t="s">
        <v>522</v>
      </c>
      <c r="B184">
        <v>7</v>
      </c>
      <c r="C184">
        <v>30.74</v>
      </c>
    </row>
    <row r="185" spans="1:3" x14ac:dyDescent="0.3">
      <c r="A185" s="7" t="s">
        <v>524</v>
      </c>
      <c r="B185">
        <v>3</v>
      </c>
      <c r="C185">
        <v>14.549999999999999</v>
      </c>
    </row>
    <row r="186" spans="1:3" x14ac:dyDescent="0.3">
      <c r="A186" s="11" t="s">
        <v>523</v>
      </c>
      <c r="B186">
        <v>0</v>
      </c>
      <c r="C186">
        <v>2.29</v>
      </c>
    </row>
    <row r="187" spans="1:3" x14ac:dyDescent="0.3">
      <c r="A187" s="11" t="s">
        <v>525</v>
      </c>
      <c r="B187">
        <v>2</v>
      </c>
      <c r="C187">
        <v>8.25</v>
      </c>
    </row>
    <row r="188" spans="1:3" x14ac:dyDescent="0.3">
      <c r="A188" s="11" t="s">
        <v>526</v>
      </c>
      <c r="B188">
        <v>1</v>
      </c>
      <c r="C188">
        <v>3.49</v>
      </c>
    </row>
    <row r="189" spans="1:3" x14ac:dyDescent="0.3">
      <c r="A189" s="11" t="s">
        <v>527</v>
      </c>
      <c r="B189">
        <v>0</v>
      </c>
      <c r="C189">
        <v>0.52</v>
      </c>
    </row>
    <row r="190" spans="1:3" x14ac:dyDescent="0.3">
      <c r="A190" s="7" t="s">
        <v>529</v>
      </c>
      <c r="B190">
        <v>0</v>
      </c>
      <c r="C190">
        <v>0.03</v>
      </c>
    </row>
    <row r="191" spans="1:3" x14ac:dyDescent="0.3">
      <c r="A191" s="11" t="s">
        <v>528</v>
      </c>
      <c r="B191">
        <v>0</v>
      </c>
      <c r="C191">
        <v>0.03</v>
      </c>
    </row>
    <row r="192" spans="1:3" x14ac:dyDescent="0.3">
      <c r="A192" s="7" t="s">
        <v>531</v>
      </c>
      <c r="B192">
        <v>3</v>
      </c>
      <c r="C192">
        <v>1.6800000000000002</v>
      </c>
    </row>
    <row r="193" spans="1:3" x14ac:dyDescent="0.3">
      <c r="A193" s="11" t="s">
        <v>530</v>
      </c>
      <c r="B193">
        <v>0</v>
      </c>
      <c r="C193">
        <v>0.23</v>
      </c>
    </row>
    <row r="194" spans="1:3" x14ac:dyDescent="0.3">
      <c r="A194" s="11" t="s">
        <v>532</v>
      </c>
      <c r="B194">
        <v>0</v>
      </c>
      <c r="C194">
        <v>0.14000000000000001</v>
      </c>
    </row>
    <row r="195" spans="1:3" x14ac:dyDescent="0.3">
      <c r="A195" s="11" t="s">
        <v>533</v>
      </c>
      <c r="B195">
        <v>3</v>
      </c>
      <c r="C195">
        <v>1.31</v>
      </c>
    </row>
    <row r="196" spans="1:3" x14ac:dyDescent="0.3">
      <c r="A196" s="7" t="s">
        <v>535</v>
      </c>
      <c r="B196">
        <v>9</v>
      </c>
      <c r="C196">
        <v>8.16</v>
      </c>
    </row>
    <row r="197" spans="1:3" x14ac:dyDescent="0.3">
      <c r="A197" s="11" t="s">
        <v>534</v>
      </c>
      <c r="B197">
        <v>0</v>
      </c>
      <c r="C197">
        <v>0.76</v>
      </c>
    </row>
    <row r="198" spans="1:3" x14ac:dyDescent="0.3">
      <c r="A198" s="11" t="s">
        <v>536</v>
      </c>
      <c r="B198">
        <v>9</v>
      </c>
      <c r="C198">
        <v>7.4</v>
      </c>
    </row>
    <row r="199" spans="1:3" x14ac:dyDescent="0.3">
      <c r="A199" s="7" t="s">
        <v>538</v>
      </c>
      <c r="B199">
        <v>0</v>
      </c>
      <c r="C199">
        <v>0</v>
      </c>
    </row>
    <row r="200" spans="1:3" x14ac:dyDescent="0.3">
      <c r="A200" s="11" t="s">
        <v>537</v>
      </c>
      <c r="B200">
        <v>0</v>
      </c>
      <c r="C200">
        <v>0</v>
      </c>
    </row>
    <row r="201" spans="1:3" x14ac:dyDescent="0.3">
      <c r="A201" s="11" t="s">
        <v>539</v>
      </c>
      <c r="B201">
        <v>0</v>
      </c>
      <c r="C201">
        <v>0</v>
      </c>
    </row>
    <row r="202" spans="1:3" x14ac:dyDescent="0.3">
      <c r="A202" s="7" t="s">
        <v>541</v>
      </c>
      <c r="B202">
        <v>0</v>
      </c>
      <c r="C202">
        <v>0.02</v>
      </c>
    </row>
    <row r="203" spans="1:3" x14ac:dyDescent="0.3">
      <c r="A203" s="11" t="s">
        <v>540</v>
      </c>
      <c r="B203">
        <v>0</v>
      </c>
      <c r="C203">
        <v>0.02</v>
      </c>
    </row>
    <row r="204" spans="1:3" x14ac:dyDescent="0.3">
      <c r="A204" s="7" t="s">
        <v>543</v>
      </c>
      <c r="B204">
        <v>17</v>
      </c>
      <c r="C204">
        <v>19.14</v>
      </c>
    </row>
    <row r="205" spans="1:3" x14ac:dyDescent="0.3">
      <c r="A205" s="11" t="s">
        <v>542</v>
      </c>
      <c r="B205">
        <v>10</v>
      </c>
      <c r="C205">
        <v>8.3800000000000008</v>
      </c>
    </row>
    <row r="206" spans="1:3" x14ac:dyDescent="0.3">
      <c r="A206" s="11" t="s">
        <v>544</v>
      </c>
      <c r="B206">
        <v>0</v>
      </c>
      <c r="C206">
        <v>0.08</v>
      </c>
    </row>
    <row r="207" spans="1:3" x14ac:dyDescent="0.3">
      <c r="A207" s="11" t="s">
        <v>545</v>
      </c>
      <c r="B207">
        <v>6</v>
      </c>
      <c r="C207">
        <v>3.71</v>
      </c>
    </row>
    <row r="208" spans="1:3" x14ac:dyDescent="0.3">
      <c r="A208" s="11" t="s">
        <v>546</v>
      </c>
      <c r="B208">
        <v>1</v>
      </c>
      <c r="C208">
        <v>6.97</v>
      </c>
    </row>
    <row r="209" spans="1:3" x14ac:dyDescent="0.3">
      <c r="A209" s="7" t="s">
        <v>548</v>
      </c>
      <c r="B209">
        <v>5</v>
      </c>
      <c r="C209">
        <v>5.91</v>
      </c>
    </row>
    <row r="210" spans="1:3" x14ac:dyDescent="0.3">
      <c r="A210" s="11" t="s">
        <v>547</v>
      </c>
      <c r="B210">
        <v>0</v>
      </c>
      <c r="C210">
        <v>3.18</v>
      </c>
    </row>
    <row r="211" spans="1:3" x14ac:dyDescent="0.3">
      <c r="A211" s="11" t="s">
        <v>549</v>
      </c>
      <c r="B211">
        <v>5</v>
      </c>
      <c r="C211">
        <v>2.73</v>
      </c>
    </row>
    <row r="212" spans="1:3" x14ac:dyDescent="0.3">
      <c r="A212" s="7" t="s">
        <v>551</v>
      </c>
      <c r="B212">
        <v>1</v>
      </c>
      <c r="C212">
        <v>1.55</v>
      </c>
    </row>
    <row r="213" spans="1:3" x14ac:dyDescent="0.3">
      <c r="A213" s="11" t="s">
        <v>550</v>
      </c>
      <c r="B213">
        <v>1</v>
      </c>
      <c r="C213">
        <v>1.37</v>
      </c>
    </row>
    <row r="214" spans="1:3" x14ac:dyDescent="0.3">
      <c r="A214" s="11" t="s">
        <v>552</v>
      </c>
      <c r="B214">
        <v>0</v>
      </c>
      <c r="C214">
        <v>0.18</v>
      </c>
    </row>
    <row r="215" spans="1:3" x14ac:dyDescent="0.3">
      <c r="A215" s="7" t="s">
        <v>554</v>
      </c>
      <c r="B215">
        <v>319</v>
      </c>
      <c r="C215">
        <v>232.26</v>
      </c>
    </row>
    <row r="216" spans="1:3" x14ac:dyDescent="0.3">
      <c r="A216" s="11" t="s">
        <v>553</v>
      </c>
      <c r="B216">
        <v>9</v>
      </c>
      <c r="C216">
        <v>5.35</v>
      </c>
    </row>
    <row r="217" spans="1:3" x14ac:dyDescent="0.3">
      <c r="A217" s="11" t="s">
        <v>555</v>
      </c>
      <c r="B217">
        <v>2</v>
      </c>
      <c r="C217">
        <v>1.48</v>
      </c>
    </row>
    <row r="218" spans="1:3" x14ac:dyDescent="0.3">
      <c r="A218" s="11" t="s">
        <v>556</v>
      </c>
      <c r="B218">
        <v>0</v>
      </c>
      <c r="C218">
        <v>0.95</v>
      </c>
    </row>
    <row r="219" spans="1:3" x14ac:dyDescent="0.3">
      <c r="A219" s="11" t="s">
        <v>557</v>
      </c>
      <c r="B219">
        <v>0</v>
      </c>
      <c r="C219">
        <v>0.71</v>
      </c>
    </row>
    <row r="220" spans="1:3" x14ac:dyDescent="0.3">
      <c r="A220" s="11" t="s">
        <v>558</v>
      </c>
      <c r="B220">
        <v>16</v>
      </c>
      <c r="C220">
        <v>25.52</v>
      </c>
    </row>
    <row r="221" spans="1:3" x14ac:dyDescent="0.3">
      <c r="A221" s="11" t="s">
        <v>559</v>
      </c>
      <c r="B221">
        <v>0</v>
      </c>
      <c r="C221">
        <v>0</v>
      </c>
    </row>
    <row r="222" spans="1:3" x14ac:dyDescent="0.3">
      <c r="A222" s="11" t="s">
        <v>560</v>
      </c>
      <c r="B222">
        <v>0</v>
      </c>
      <c r="C222">
        <v>0.24</v>
      </c>
    </row>
    <row r="223" spans="1:3" x14ac:dyDescent="0.3">
      <c r="A223" s="11" t="s">
        <v>561</v>
      </c>
      <c r="B223">
        <v>2</v>
      </c>
      <c r="C223">
        <v>0.97</v>
      </c>
    </row>
    <row r="224" spans="1:3" x14ac:dyDescent="0.3">
      <c r="A224" s="11" t="s">
        <v>562</v>
      </c>
      <c r="B224">
        <v>19</v>
      </c>
      <c r="C224">
        <v>10.49</v>
      </c>
    </row>
    <row r="225" spans="1:3" x14ac:dyDescent="0.3">
      <c r="A225" s="11" t="s">
        <v>563</v>
      </c>
      <c r="B225">
        <v>1</v>
      </c>
      <c r="C225">
        <v>1.71</v>
      </c>
    </row>
    <row r="226" spans="1:3" x14ac:dyDescent="0.3">
      <c r="A226" s="11" t="s">
        <v>564</v>
      </c>
      <c r="B226">
        <v>0</v>
      </c>
      <c r="C226">
        <v>0.01</v>
      </c>
    </row>
    <row r="227" spans="1:3" x14ac:dyDescent="0.3">
      <c r="A227" s="11" t="s">
        <v>565</v>
      </c>
      <c r="B227">
        <v>3</v>
      </c>
      <c r="C227">
        <v>1.82</v>
      </c>
    </row>
    <row r="228" spans="1:3" x14ac:dyDescent="0.3">
      <c r="A228" s="11" t="s">
        <v>566</v>
      </c>
      <c r="B228">
        <v>10</v>
      </c>
      <c r="C228">
        <v>11.75</v>
      </c>
    </row>
    <row r="229" spans="1:3" x14ac:dyDescent="0.3">
      <c r="A229" s="11" t="s">
        <v>567</v>
      </c>
      <c r="B229">
        <v>0</v>
      </c>
      <c r="C229">
        <v>0.11</v>
      </c>
    </row>
    <row r="230" spans="1:3" x14ac:dyDescent="0.3">
      <c r="A230" s="11" t="s">
        <v>568</v>
      </c>
      <c r="B230">
        <v>8</v>
      </c>
      <c r="C230">
        <v>1.91</v>
      </c>
    </row>
    <row r="231" spans="1:3" x14ac:dyDescent="0.3">
      <c r="A231" s="11" t="s">
        <v>569</v>
      </c>
      <c r="B231">
        <v>11</v>
      </c>
      <c r="C231">
        <v>10.83</v>
      </c>
    </row>
    <row r="232" spans="1:3" x14ac:dyDescent="0.3">
      <c r="A232" s="11" t="s">
        <v>570</v>
      </c>
      <c r="B232">
        <v>4</v>
      </c>
      <c r="C232">
        <v>5.66</v>
      </c>
    </row>
    <row r="233" spans="1:3" x14ac:dyDescent="0.3">
      <c r="A233" s="11" t="s">
        <v>571</v>
      </c>
      <c r="B233">
        <v>11</v>
      </c>
      <c r="C233">
        <v>10.5</v>
      </c>
    </row>
    <row r="234" spans="1:3" x14ac:dyDescent="0.3">
      <c r="A234" s="11" t="s">
        <v>572</v>
      </c>
      <c r="B234">
        <v>30</v>
      </c>
      <c r="C234">
        <v>9.27</v>
      </c>
    </row>
    <row r="235" spans="1:3" x14ac:dyDescent="0.3">
      <c r="A235" s="11" t="s">
        <v>573</v>
      </c>
      <c r="B235">
        <v>59</v>
      </c>
      <c r="C235">
        <v>23.36</v>
      </c>
    </row>
    <row r="236" spans="1:3" x14ac:dyDescent="0.3">
      <c r="A236" s="11" t="s">
        <v>574</v>
      </c>
      <c r="B236">
        <v>0</v>
      </c>
      <c r="C236">
        <v>0.95</v>
      </c>
    </row>
    <row r="237" spans="1:3" x14ac:dyDescent="0.3">
      <c r="A237" s="11" t="s">
        <v>575</v>
      </c>
      <c r="B237">
        <v>26</v>
      </c>
      <c r="C237">
        <v>4.6399999999999997</v>
      </c>
    </row>
    <row r="238" spans="1:3" x14ac:dyDescent="0.3">
      <c r="A238" s="11" t="s">
        <v>576</v>
      </c>
      <c r="B238">
        <v>3</v>
      </c>
      <c r="C238">
        <v>8.2899999999999991</v>
      </c>
    </row>
    <row r="239" spans="1:3" x14ac:dyDescent="0.3">
      <c r="A239" s="11" t="s">
        <v>577</v>
      </c>
      <c r="B239">
        <v>6</v>
      </c>
      <c r="C239">
        <v>4.9400000000000004</v>
      </c>
    </row>
    <row r="240" spans="1:3" x14ac:dyDescent="0.3">
      <c r="A240" s="11" t="s">
        <v>578</v>
      </c>
      <c r="B240">
        <v>11</v>
      </c>
      <c r="C240">
        <v>8.11</v>
      </c>
    </row>
    <row r="241" spans="1:3" x14ac:dyDescent="0.3">
      <c r="A241" s="11" t="s">
        <v>579</v>
      </c>
      <c r="B241">
        <v>1</v>
      </c>
      <c r="C241">
        <v>0.87</v>
      </c>
    </row>
    <row r="242" spans="1:3" x14ac:dyDescent="0.3">
      <c r="A242" s="11" t="s">
        <v>580</v>
      </c>
      <c r="B242">
        <v>17</v>
      </c>
      <c r="C242">
        <v>13.33</v>
      </c>
    </row>
    <row r="243" spans="1:3" x14ac:dyDescent="0.3">
      <c r="A243" s="11" t="s">
        <v>581</v>
      </c>
      <c r="B243">
        <v>0</v>
      </c>
      <c r="C243">
        <v>0.38</v>
      </c>
    </row>
    <row r="244" spans="1:3" x14ac:dyDescent="0.3">
      <c r="A244" s="11" t="s">
        <v>582</v>
      </c>
      <c r="B244">
        <v>15</v>
      </c>
      <c r="C244">
        <v>9.1300000000000008</v>
      </c>
    </row>
    <row r="245" spans="1:3" x14ac:dyDescent="0.3">
      <c r="A245" s="11" t="s">
        <v>583</v>
      </c>
      <c r="B245">
        <v>15</v>
      </c>
      <c r="C245">
        <v>12.63</v>
      </c>
    </row>
    <row r="246" spans="1:3" x14ac:dyDescent="0.3">
      <c r="A246" s="11" t="s">
        <v>584</v>
      </c>
      <c r="B246">
        <v>1</v>
      </c>
      <c r="C246">
        <v>1.06</v>
      </c>
    </row>
    <row r="247" spans="1:3" x14ac:dyDescent="0.3">
      <c r="A247" s="11" t="s">
        <v>585</v>
      </c>
      <c r="B247">
        <v>37</v>
      </c>
      <c r="C247">
        <v>41.84</v>
      </c>
    </row>
    <row r="248" spans="1:3" x14ac:dyDescent="0.3">
      <c r="A248" s="11" t="s">
        <v>586</v>
      </c>
      <c r="B248">
        <v>2</v>
      </c>
      <c r="C248">
        <v>3.45</v>
      </c>
    </row>
    <row r="249" spans="1:3" x14ac:dyDescent="0.3">
      <c r="A249" s="7" t="s">
        <v>588</v>
      </c>
      <c r="B249">
        <v>37</v>
      </c>
      <c r="C249">
        <v>39.71</v>
      </c>
    </row>
    <row r="250" spans="1:3" x14ac:dyDescent="0.3">
      <c r="A250" s="11" t="s">
        <v>587</v>
      </c>
      <c r="B250">
        <v>15</v>
      </c>
      <c r="C250">
        <v>22.99</v>
      </c>
    </row>
    <row r="251" spans="1:3" x14ac:dyDescent="0.3">
      <c r="A251" s="11" t="s">
        <v>589</v>
      </c>
      <c r="B251">
        <v>2</v>
      </c>
      <c r="C251">
        <v>1.23</v>
      </c>
    </row>
    <row r="252" spans="1:3" x14ac:dyDescent="0.3">
      <c r="A252" s="11" t="s">
        <v>590</v>
      </c>
      <c r="B252">
        <v>20</v>
      </c>
      <c r="C252">
        <v>15.49</v>
      </c>
    </row>
    <row r="253" spans="1:3" x14ac:dyDescent="0.3">
      <c r="A253" s="7" t="s">
        <v>592</v>
      </c>
      <c r="B253">
        <v>0</v>
      </c>
      <c r="C253">
        <v>0.01</v>
      </c>
    </row>
    <row r="254" spans="1:3" x14ac:dyDescent="0.3">
      <c r="A254" s="11" t="s">
        <v>591</v>
      </c>
      <c r="B254">
        <v>0</v>
      </c>
      <c r="C254">
        <v>0.01</v>
      </c>
    </row>
    <row r="255" spans="1:3" x14ac:dyDescent="0.3">
      <c r="A255" s="11" t="s">
        <v>593</v>
      </c>
      <c r="B255">
        <v>0</v>
      </c>
      <c r="C255">
        <v>0</v>
      </c>
    </row>
    <row r="256" spans="1:3" x14ac:dyDescent="0.3">
      <c r="A256" s="11" t="s">
        <v>594</v>
      </c>
      <c r="B256">
        <v>0</v>
      </c>
      <c r="C256">
        <v>0</v>
      </c>
    </row>
    <row r="257" spans="1:3" x14ac:dyDescent="0.3">
      <c r="A257" s="7" t="s">
        <v>596</v>
      </c>
      <c r="B257">
        <v>124</v>
      </c>
      <c r="C257">
        <v>116.94999999999999</v>
      </c>
    </row>
    <row r="258" spans="1:3" x14ac:dyDescent="0.3">
      <c r="A258" s="11" t="s">
        <v>595</v>
      </c>
      <c r="B258">
        <v>3</v>
      </c>
      <c r="C258">
        <v>1.66</v>
      </c>
    </row>
    <row r="259" spans="1:3" x14ac:dyDescent="0.3">
      <c r="A259" s="11" t="s">
        <v>597</v>
      </c>
      <c r="B259">
        <v>18</v>
      </c>
      <c r="C259">
        <v>11.45</v>
      </c>
    </row>
    <row r="260" spans="1:3" x14ac:dyDescent="0.3">
      <c r="A260" s="11" t="s">
        <v>598</v>
      </c>
      <c r="B260">
        <v>3</v>
      </c>
      <c r="C260">
        <v>1.68</v>
      </c>
    </row>
    <row r="261" spans="1:3" x14ac:dyDescent="0.3">
      <c r="A261" s="11" t="s">
        <v>599</v>
      </c>
      <c r="B261">
        <v>15</v>
      </c>
      <c r="C261">
        <v>14.05</v>
      </c>
    </row>
    <row r="262" spans="1:3" x14ac:dyDescent="0.3">
      <c r="A262" s="11" t="s">
        <v>600</v>
      </c>
      <c r="B262">
        <v>0</v>
      </c>
      <c r="C262">
        <v>0.24</v>
      </c>
    </row>
    <row r="263" spans="1:3" x14ac:dyDescent="0.3">
      <c r="A263" s="11" t="s">
        <v>601</v>
      </c>
      <c r="B263">
        <v>1</v>
      </c>
      <c r="C263">
        <v>6.02</v>
      </c>
    </row>
    <row r="264" spans="1:3" x14ac:dyDescent="0.3">
      <c r="A264" s="11" t="s">
        <v>602</v>
      </c>
      <c r="B264">
        <v>3</v>
      </c>
      <c r="C264">
        <v>1.65</v>
      </c>
    </row>
    <row r="265" spans="1:3" x14ac:dyDescent="0.3">
      <c r="A265" s="11" t="s">
        <v>603</v>
      </c>
      <c r="B265">
        <v>4</v>
      </c>
      <c r="C265">
        <v>4.3499999999999996</v>
      </c>
    </row>
    <row r="266" spans="1:3" x14ac:dyDescent="0.3">
      <c r="A266" s="11" t="s">
        <v>604</v>
      </c>
      <c r="B266">
        <v>8</v>
      </c>
      <c r="C266">
        <v>11.95</v>
      </c>
    </row>
    <row r="267" spans="1:3" x14ac:dyDescent="0.3">
      <c r="A267" s="11" t="s">
        <v>605</v>
      </c>
      <c r="B267">
        <v>8</v>
      </c>
      <c r="C267">
        <v>7.53</v>
      </c>
    </row>
    <row r="268" spans="1:3" x14ac:dyDescent="0.3">
      <c r="A268" s="11" t="s">
        <v>606</v>
      </c>
      <c r="B268">
        <v>7</v>
      </c>
      <c r="C268">
        <v>4.9000000000000004</v>
      </c>
    </row>
    <row r="269" spans="1:3" x14ac:dyDescent="0.3">
      <c r="A269" s="11" t="s">
        <v>607</v>
      </c>
      <c r="B269">
        <v>0</v>
      </c>
      <c r="C269">
        <v>0.38</v>
      </c>
    </row>
    <row r="270" spans="1:3" x14ac:dyDescent="0.3">
      <c r="A270" s="11" t="s">
        <v>608</v>
      </c>
      <c r="B270">
        <v>0</v>
      </c>
      <c r="C270">
        <v>0</v>
      </c>
    </row>
    <row r="271" spans="1:3" x14ac:dyDescent="0.3">
      <c r="A271" s="11" t="s">
        <v>609</v>
      </c>
      <c r="B271">
        <v>42</v>
      </c>
      <c r="C271">
        <v>22.3</v>
      </c>
    </row>
    <row r="272" spans="1:3" x14ac:dyDescent="0.3">
      <c r="A272" s="11" t="s">
        <v>610</v>
      </c>
      <c r="B272">
        <v>2</v>
      </c>
      <c r="C272">
        <v>16.3</v>
      </c>
    </row>
    <row r="273" spans="1:3" x14ac:dyDescent="0.3">
      <c r="A273" s="11" t="s">
        <v>611</v>
      </c>
      <c r="B273">
        <v>3</v>
      </c>
      <c r="C273">
        <v>1.39</v>
      </c>
    </row>
    <row r="274" spans="1:3" x14ac:dyDescent="0.3">
      <c r="A274" s="11" t="s">
        <v>612</v>
      </c>
      <c r="B274">
        <v>1</v>
      </c>
      <c r="C274">
        <v>2.1800000000000002</v>
      </c>
    </row>
    <row r="275" spans="1:3" x14ac:dyDescent="0.3">
      <c r="A275" s="11" t="s">
        <v>613</v>
      </c>
      <c r="B275">
        <v>2</v>
      </c>
      <c r="C275">
        <v>3.49</v>
      </c>
    </row>
    <row r="276" spans="1:3" x14ac:dyDescent="0.3">
      <c r="A276" s="11" t="s">
        <v>614</v>
      </c>
      <c r="B276">
        <v>4</v>
      </c>
      <c r="C276">
        <v>5.0999999999999996</v>
      </c>
    </row>
    <row r="277" spans="1:3" x14ac:dyDescent="0.3">
      <c r="A277" s="11" t="s">
        <v>615</v>
      </c>
      <c r="B277">
        <v>0</v>
      </c>
      <c r="C277">
        <v>0.33</v>
      </c>
    </row>
    <row r="278" spans="1:3" x14ac:dyDescent="0.3">
      <c r="A278" s="7" t="s">
        <v>617</v>
      </c>
      <c r="B278">
        <v>130</v>
      </c>
      <c r="C278">
        <v>196.84</v>
      </c>
    </row>
    <row r="279" spans="1:3" x14ac:dyDescent="0.3">
      <c r="A279" s="11" t="s">
        <v>616</v>
      </c>
      <c r="B279">
        <v>11</v>
      </c>
      <c r="C279">
        <v>11.67</v>
      </c>
    </row>
    <row r="280" spans="1:3" x14ac:dyDescent="0.3">
      <c r="A280" s="11" t="s">
        <v>618</v>
      </c>
      <c r="B280">
        <v>11</v>
      </c>
      <c r="C280">
        <v>17.989999999999998</v>
      </c>
    </row>
    <row r="281" spans="1:3" x14ac:dyDescent="0.3">
      <c r="A281" s="11" t="s">
        <v>619</v>
      </c>
      <c r="B281">
        <v>8</v>
      </c>
      <c r="C281">
        <v>14.85</v>
      </c>
    </row>
    <row r="282" spans="1:3" x14ac:dyDescent="0.3">
      <c r="A282" s="11" t="s">
        <v>620</v>
      </c>
      <c r="B282">
        <v>3</v>
      </c>
      <c r="C282">
        <v>2.4500000000000002</v>
      </c>
    </row>
    <row r="283" spans="1:3" x14ac:dyDescent="0.3">
      <c r="A283" s="11" t="s">
        <v>621</v>
      </c>
      <c r="B283">
        <v>4</v>
      </c>
      <c r="C283">
        <v>15.87</v>
      </c>
    </row>
    <row r="284" spans="1:3" x14ac:dyDescent="0.3">
      <c r="A284" s="11" t="s">
        <v>622</v>
      </c>
      <c r="B284">
        <v>8</v>
      </c>
      <c r="C284">
        <v>3.22</v>
      </c>
    </row>
    <row r="285" spans="1:3" x14ac:dyDescent="0.3">
      <c r="A285" s="11" t="s">
        <v>623</v>
      </c>
      <c r="B285">
        <v>2</v>
      </c>
      <c r="C285">
        <v>1.39</v>
      </c>
    </row>
    <row r="286" spans="1:3" x14ac:dyDescent="0.3">
      <c r="A286" s="11" t="s">
        <v>624</v>
      </c>
      <c r="B286">
        <v>21</v>
      </c>
      <c r="C286">
        <v>38.770000000000003</v>
      </c>
    </row>
    <row r="287" spans="1:3" x14ac:dyDescent="0.3">
      <c r="A287" s="11" t="s">
        <v>625</v>
      </c>
      <c r="B287">
        <v>53</v>
      </c>
      <c r="C287">
        <v>79.399999999999991</v>
      </c>
    </row>
    <row r="288" spans="1:3" x14ac:dyDescent="0.3">
      <c r="A288" s="11" t="s">
        <v>626</v>
      </c>
      <c r="B288">
        <v>9</v>
      </c>
      <c r="C288">
        <v>11.23</v>
      </c>
    </row>
    <row r="289" spans="1:3" x14ac:dyDescent="0.3">
      <c r="A289" s="7" t="s">
        <v>628</v>
      </c>
      <c r="B289">
        <v>0</v>
      </c>
      <c r="C289">
        <v>0.25</v>
      </c>
    </row>
    <row r="290" spans="1:3" x14ac:dyDescent="0.3">
      <c r="A290" s="11" t="s">
        <v>627</v>
      </c>
      <c r="B290">
        <v>0</v>
      </c>
      <c r="C290">
        <v>0.25</v>
      </c>
    </row>
    <row r="291" spans="1:3" x14ac:dyDescent="0.3">
      <c r="A291" s="7" t="s">
        <v>630</v>
      </c>
      <c r="B291">
        <v>173</v>
      </c>
      <c r="C291">
        <v>214.26999999999995</v>
      </c>
    </row>
    <row r="292" spans="1:3" x14ac:dyDescent="0.3">
      <c r="A292" s="11" t="s">
        <v>629</v>
      </c>
      <c r="B292">
        <v>21</v>
      </c>
      <c r="C292">
        <v>18.62</v>
      </c>
    </row>
    <row r="293" spans="1:3" x14ac:dyDescent="0.3">
      <c r="A293" s="11" t="s">
        <v>631</v>
      </c>
      <c r="B293">
        <v>0</v>
      </c>
      <c r="C293">
        <v>0.28000000000000003</v>
      </c>
    </row>
    <row r="294" spans="1:3" x14ac:dyDescent="0.3">
      <c r="A294" s="11" t="s">
        <v>632</v>
      </c>
      <c r="B294">
        <v>2</v>
      </c>
      <c r="C294">
        <v>1.08</v>
      </c>
    </row>
    <row r="295" spans="1:3" x14ac:dyDescent="0.3">
      <c r="A295" s="11" t="s">
        <v>633</v>
      </c>
      <c r="B295">
        <v>0</v>
      </c>
      <c r="C295">
        <v>0</v>
      </c>
    </row>
    <row r="296" spans="1:3" x14ac:dyDescent="0.3">
      <c r="A296" s="11" t="s">
        <v>634</v>
      </c>
      <c r="B296">
        <v>1</v>
      </c>
      <c r="C296">
        <v>2.41</v>
      </c>
    </row>
    <row r="297" spans="1:3" x14ac:dyDescent="0.3">
      <c r="A297" s="11" t="s">
        <v>635</v>
      </c>
      <c r="B297">
        <v>0</v>
      </c>
      <c r="C297">
        <v>0</v>
      </c>
    </row>
    <row r="298" spans="1:3" x14ac:dyDescent="0.3">
      <c r="A298" s="11" t="s">
        <v>636</v>
      </c>
      <c r="B298">
        <v>12</v>
      </c>
      <c r="C298">
        <v>4.0599999999999996</v>
      </c>
    </row>
    <row r="299" spans="1:3" x14ac:dyDescent="0.3">
      <c r="A299" s="11" t="s">
        <v>637</v>
      </c>
      <c r="B299">
        <v>1</v>
      </c>
      <c r="C299">
        <v>5.97</v>
      </c>
    </row>
    <row r="300" spans="1:3" x14ac:dyDescent="0.3">
      <c r="A300" s="11" t="s">
        <v>638</v>
      </c>
      <c r="B300">
        <v>1</v>
      </c>
      <c r="C300">
        <v>0.6</v>
      </c>
    </row>
    <row r="301" spans="1:3" x14ac:dyDescent="0.3">
      <c r="A301" s="11" t="s">
        <v>639</v>
      </c>
      <c r="B301">
        <v>19</v>
      </c>
      <c r="C301">
        <v>21.28</v>
      </c>
    </row>
    <row r="302" spans="1:3" x14ac:dyDescent="0.3">
      <c r="A302" s="11" t="s">
        <v>640</v>
      </c>
      <c r="B302">
        <v>12</v>
      </c>
      <c r="C302">
        <v>10.92</v>
      </c>
    </row>
    <row r="303" spans="1:3" x14ac:dyDescent="0.3">
      <c r="A303" s="11" t="s">
        <v>641</v>
      </c>
      <c r="B303">
        <v>5</v>
      </c>
      <c r="C303">
        <v>21.56</v>
      </c>
    </row>
    <row r="304" spans="1:3" x14ac:dyDescent="0.3">
      <c r="A304" s="11" t="s">
        <v>642</v>
      </c>
      <c r="B304">
        <v>23</v>
      </c>
      <c r="C304">
        <v>14.1</v>
      </c>
    </row>
    <row r="305" spans="1:3" x14ac:dyDescent="0.3">
      <c r="A305" s="11" t="s">
        <v>643</v>
      </c>
      <c r="B305">
        <v>6</v>
      </c>
      <c r="C305">
        <v>24.67</v>
      </c>
    </row>
    <row r="306" spans="1:3" x14ac:dyDescent="0.3">
      <c r="A306" s="11" t="s">
        <v>644</v>
      </c>
      <c r="B306">
        <v>14</v>
      </c>
      <c r="C306">
        <v>29.89</v>
      </c>
    </row>
    <row r="307" spans="1:3" x14ac:dyDescent="0.3">
      <c r="A307" s="11" t="s">
        <v>645</v>
      </c>
      <c r="B307">
        <v>1</v>
      </c>
      <c r="C307">
        <v>3.66</v>
      </c>
    </row>
    <row r="308" spans="1:3" x14ac:dyDescent="0.3">
      <c r="A308" s="11" t="s">
        <v>646</v>
      </c>
      <c r="B308">
        <v>1</v>
      </c>
      <c r="C308">
        <v>0.45</v>
      </c>
    </row>
    <row r="309" spans="1:3" x14ac:dyDescent="0.3">
      <c r="A309" s="11" t="s">
        <v>647</v>
      </c>
      <c r="B309">
        <v>2</v>
      </c>
      <c r="C309">
        <v>1.28</v>
      </c>
    </row>
    <row r="310" spans="1:3" x14ac:dyDescent="0.3">
      <c r="A310" s="11" t="s">
        <v>648</v>
      </c>
      <c r="B310">
        <v>0</v>
      </c>
      <c r="C310">
        <v>0.03</v>
      </c>
    </row>
    <row r="311" spans="1:3" x14ac:dyDescent="0.3">
      <c r="A311" s="11" t="s">
        <v>649</v>
      </c>
      <c r="B311">
        <v>16</v>
      </c>
      <c r="C311">
        <v>12.17</v>
      </c>
    </row>
    <row r="312" spans="1:3" x14ac:dyDescent="0.3">
      <c r="A312" s="11" t="s">
        <v>650</v>
      </c>
      <c r="B312">
        <v>4</v>
      </c>
      <c r="C312">
        <v>5.28</v>
      </c>
    </row>
    <row r="313" spans="1:3" x14ac:dyDescent="0.3">
      <c r="A313" s="11" t="s">
        <v>651</v>
      </c>
      <c r="B313">
        <v>18</v>
      </c>
      <c r="C313">
        <v>16.350000000000001</v>
      </c>
    </row>
    <row r="314" spans="1:3" x14ac:dyDescent="0.3">
      <c r="A314" s="11" t="s">
        <v>652</v>
      </c>
      <c r="B314">
        <v>12</v>
      </c>
      <c r="C314">
        <v>17.78</v>
      </c>
    </row>
    <row r="315" spans="1:3" x14ac:dyDescent="0.3">
      <c r="A315" s="11" t="s">
        <v>653</v>
      </c>
      <c r="B315">
        <v>0</v>
      </c>
      <c r="C315">
        <v>0.13</v>
      </c>
    </row>
    <row r="316" spans="1:3" x14ac:dyDescent="0.3">
      <c r="A316" s="11" t="s">
        <v>654</v>
      </c>
      <c r="B316">
        <v>2</v>
      </c>
      <c r="C316">
        <v>1.7</v>
      </c>
    </row>
    <row r="317" spans="1:3" x14ac:dyDescent="0.3">
      <c r="A317" s="7" t="s">
        <v>656</v>
      </c>
      <c r="B317">
        <v>233</v>
      </c>
      <c r="C317">
        <v>318.89</v>
      </c>
    </row>
    <row r="318" spans="1:3" x14ac:dyDescent="0.3">
      <c r="A318" s="11" t="s">
        <v>655</v>
      </c>
      <c r="B318">
        <v>1</v>
      </c>
      <c r="C318">
        <v>3.04</v>
      </c>
    </row>
    <row r="319" spans="1:3" x14ac:dyDescent="0.3">
      <c r="A319" s="11" t="s">
        <v>657</v>
      </c>
      <c r="B319">
        <v>5</v>
      </c>
      <c r="C319">
        <v>18.739999999999998</v>
      </c>
    </row>
    <row r="320" spans="1:3" x14ac:dyDescent="0.3">
      <c r="A320" s="11" t="s">
        <v>658</v>
      </c>
      <c r="B320">
        <v>3</v>
      </c>
      <c r="C320">
        <v>10.36</v>
      </c>
    </row>
    <row r="321" spans="1:3" x14ac:dyDescent="0.3">
      <c r="A321" s="11" t="s">
        <v>659</v>
      </c>
      <c r="B321">
        <v>14</v>
      </c>
      <c r="C321">
        <v>9.01</v>
      </c>
    </row>
    <row r="322" spans="1:3" x14ac:dyDescent="0.3">
      <c r="A322" s="11" t="s">
        <v>660</v>
      </c>
      <c r="B322">
        <v>8</v>
      </c>
      <c r="C322">
        <v>11.4</v>
      </c>
    </row>
    <row r="323" spans="1:3" x14ac:dyDescent="0.3">
      <c r="A323" s="11" t="s">
        <v>661</v>
      </c>
      <c r="B323">
        <v>10</v>
      </c>
      <c r="C323">
        <v>12.54</v>
      </c>
    </row>
    <row r="324" spans="1:3" x14ac:dyDescent="0.3">
      <c r="A324" s="11" t="s">
        <v>662</v>
      </c>
      <c r="B324">
        <v>3</v>
      </c>
      <c r="C324">
        <v>1.35</v>
      </c>
    </row>
    <row r="325" spans="1:3" x14ac:dyDescent="0.3">
      <c r="A325" s="11" t="s">
        <v>663</v>
      </c>
      <c r="B325">
        <v>1</v>
      </c>
      <c r="C325">
        <v>1.41</v>
      </c>
    </row>
    <row r="326" spans="1:3" x14ac:dyDescent="0.3">
      <c r="A326" s="11" t="s">
        <v>664</v>
      </c>
      <c r="B326">
        <v>27</v>
      </c>
      <c r="C326">
        <v>36.69</v>
      </c>
    </row>
    <row r="327" spans="1:3" x14ac:dyDescent="0.3">
      <c r="A327" s="11" t="s">
        <v>665</v>
      </c>
      <c r="B327">
        <v>13</v>
      </c>
      <c r="C327">
        <v>9.08</v>
      </c>
    </row>
    <row r="328" spans="1:3" x14ac:dyDescent="0.3">
      <c r="A328" s="11" t="s">
        <v>666</v>
      </c>
      <c r="B328">
        <v>1</v>
      </c>
      <c r="C328">
        <v>3.12</v>
      </c>
    </row>
    <row r="329" spans="1:3" x14ac:dyDescent="0.3">
      <c r="A329" s="11" t="s">
        <v>667</v>
      </c>
      <c r="B329">
        <v>18</v>
      </c>
      <c r="C329">
        <v>21</v>
      </c>
    </row>
    <row r="330" spans="1:3" x14ac:dyDescent="0.3">
      <c r="A330" s="11" t="s">
        <v>668</v>
      </c>
      <c r="B330">
        <v>13</v>
      </c>
      <c r="C330">
        <v>11.06</v>
      </c>
    </row>
    <row r="331" spans="1:3" x14ac:dyDescent="0.3">
      <c r="A331" s="11" t="s">
        <v>669</v>
      </c>
      <c r="B331">
        <v>4</v>
      </c>
      <c r="C331">
        <v>3.2</v>
      </c>
    </row>
    <row r="332" spans="1:3" x14ac:dyDescent="0.3">
      <c r="A332" s="11" t="s">
        <v>670</v>
      </c>
      <c r="B332">
        <v>12</v>
      </c>
      <c r="C332">
        <v>22.01</v>
      </c>
    </row>
    <row r="333" spans="1:3" x14ac:dyDescent="0.3">
      <c r="A333" s="11" t="s">
        <v>671</v>
      </c>
      <c r="B333">
        <v>16</v>
      </c>
      <c r="C333">
        <v>12.36</v>
      </c>
    </row>
    <row r="334" spans="1:3" x14ac:dyDescent="0.3">
      <c r="A334" s="11" t="s">
        <v>672</v>
      </c>
      <c r="B334">
        <v>5</v>
      </c>
      <c r="C334">
        <v>1.56</v>
      </c>
    </row>
    <row r="335" spans="1:3" x14ac:dyDescent="0.3">
      <c r="A335" s="11" t="s">
        <v>673</v>
      </c>
      <c r="B335">
        <v>3</v>
      </c>
      <c r="C335">
        <v>6.04</v>
      </c>
    </row>
    <row r="336" spans="1:3" x14ac:dyDescent="0.3">
      <c r="A336" s="11" t="s">
        <v>674</v>
      </c>
      <c r="B336">
        <v>24</v>
      </c>
      <c r="C336">
        <v>32.69</v>
      </c>
    </row>
    <row r="337" spans="1:3" x14ac:dyDescent="0.3">
      <c r="A337" s="11" t="s">
        <v>675</v>
      </c>
      <c r="B337">
        <v>12</v>
      </c>
      <c r="C337">
        <v>9.4400000000000013</v>
      </c>
    </row>
    <row r="338" spans="1:3" x14ac:dyDescent="0.3">
      <c r="A338" s="11" t="s">
        <v>676</v>
      </c>
      <c r="B338">
        <v>8</v>
      </c>
      <c r="C338">
        <v>24.03</v>
      </c>
    </row>
    <row r="339" spans="1:3" x14ac:dyDescent="0.3">
      <c r="A339" s="11" t="s">
        <v>677</v>
      </c>
      <c r="B339">
        <v>32</v>
      </c>
      <c r="C339">
        <v>58.76</v>
      </c>
    </row>
    <row r="340" spans="1:3" x14ac:dyDescent="0.3">
      <c r="A340" s="7" t="s">
        <v>679</v>
      </c>
      <c r="B340">
        <v>113</v>
      </c>
      <c r="C340">
        <v>165.84</v>
      </c>
    </row>
    <row r="341" spans="1:3" x14ac:dyDescent="0.3">
      <c r="A341" s="11" t="s">
        <v>678</v>
      </c>
      <c r="B341">
        <v>4</v>
      </c>
      <c r="C341">
        <v>3.19</v>
      </c>
    </row>
    <row r="342" spans="1:3" x14ac:dyDescent="0.3">
      <c r="A342" s="11" t="s">
        <v>680</v>
      </c>
      <c r="B342">
        <v>2</v>
      </c>
      <c r="C342">
        <v>2.44</v>
      </c>
    </row>
    <row r="343" spans="1:3" x14ac:dyDescent="0.3">
      <c r="A343" s="11" t="s">
        <v>681</v>
      </c>
      <c r="B343">
        <v>11</v>
      </c>
      <c r="C343">
        <v>25.75</v>
      </c>
    </row>
    <row r="344" spans="1:3" x14ac:dyDescent="0.3">
      <c r="A344" s="11" t="s">
        <v>682</v>
      </c>
      <c r="B344">
        <v>0</v>
      </c>
      <c r="C344">
        <v>0.37</v>
      </c>
    </row>
    <row r="345" spans="1:3" x14ac:dyDescent="0.3">
      <c r="A345" s="11" t="s">
        <v>683</v>
      </c>
      <c r="B345">
        <v>8</v>
      </c>
      <c r="C345">
        <v>9.0399999999999991</v>
      </c>
    </row>
    <row r="346" spans="1:3" x14ac:dyDescent="0.3">
      <c r="A346" s="11" t="s">
        <v>684</v>
      </c>
      <c r="B346">
        <v>1</v>
      </c>
      <c r="C346">
        <v>8.3800000000000008</v>
      </c>
    </row>
    <row r="347" spans="1:3" x14ac:dyDescent="0.3">
      <c r="A347" s="11" t="s">
        <v>685</v>
      </c>
      <c r="B347">
        <v>0</v>
      </c>
      <c r="C347">
        <v>0.02</v>
      </c>
    </row>
    <row r="348" spans="1:3" x14ac:dyDescent="0.3">
      <c r="A348" s="11" t="s">
        <v>686</v>
      </c>
      <c r="B348">
        <v>0</v>
      </c>
      <c r="C348">
        <v>3.31</v>
      </c>
    </row>
    <row r="349" spans="1:3" x14ac:dyDescent="0.3">
      <c r="A349" s="11" t="s">
        <v>687</v>
      </c>
      <c r="B349">
        <v>1</v>
      </c>
      <c r="C349">
        <v>2.9800000000000004</v>
      </c>
    </row>
    <row r="350" spans="1:3" x14ac:dyDescent="0.3">
      <c r="A350" s="11" t="s">
        <v>688</v>
      </c>
      <c r="B350">
        <v>52</v>
      </c>
      <c r="C350">
        <v>64.31</v>
      </c>
    </row>
    <row r="351" spans="1:3" x14ac:dyDescent="0.3">
      <c r="A351" s="11" t="s">
        <v>689</v>
      </c>
      <c r="B351">
        <v>26</v>
      </c>
      <c r="C351">
        <v>32.299999999999997</v>
      </c>
    </row>
    <row r="352" spans="1:3" x14ac:dyDescent="0.3">
      <c r="A352" s="11" t="s">
        <v>690</v>
      </c>
      <c r="B352">
        <v>1</v>
      </c>
      <c r="C352">
        <v>1.93</v>
      </c>
    </row>
    <row r="353" spans="1:3" x14ac:dyDescent="0.3">
      <c r="A353" s="11" t="s">
        <v>691</v>
      </c>
      <c r="B353">
        <v>7</v>
      </c>
      <c r="C353">
        <v>11.82</v>
      </c>
    </row>
    <row r="354" spans="1:3" x14ac:dyDescent="0.3">
      <c r="A354" s="7" t="s">
        <v>693</v>
      </c>
      <c r="B354">
        <v>102</v>
      </c>
      <c r="C354">
        <v>37.800000000000004</v>
      </c>
    </row>
    <row r="355" spans="1:3" x14ac:dyDescent="0.3">
      <c r="A355" s="11" t="s">
        <v>692</v>
      </c>
      <c r="B355">
        <v>4</v>
      </c>
      <c r="C355">
        <v>2.2600000000000002</v>
      </c>
    </row>
    <row r="356" spans="1:3" x14ac:dyDescent="0.3">
      <c r="A356" s="11" t="s">
        <v>694</v>
      </c>
      <c r="B356">
        <v>5</v>
      </c>
      <c r="C356">
        <v>2.84</v>
      </c>
    </row>
    <row r="357" spans="1:3" x14ac:dyDescent="0.3">
      <c r="A357" s="11" t="s">
        <v>695</v>
      </c>
      <c r="B357">
        <v>11</v>
      </c>
      <c r="C357">
        <v>1.29</v>
      </c>
    </row>
    <row r="358" spans="1:3" x14ac:dyDescent="0.3">
      <c r="A358" s="11" t="s">
        <v>696</v>
      </c>
      <c r="B358">
        <v>0</v>
      </c>
      <c r="C358">
        <v>1.1200000000000001</v>
      </c>
    </row>
    <row r="359" spans="1:3" x14ac:dyDescent="0.3">
      <c r="A359" s="11" t="s">
        <v>697</v>
      </c>
      <c r="B359">
        <v>39</v>
      </c>
      <c r="C359">
        <v>8.92</v>
      </c>
    </row>
    <row r="360" spans="1:3" x14ac:dyDescent="0.3">
      <c r="A360" s="11" t="s">
        <v>698</v>
      </c>
      <c r="B360">
        <v>43</v>
      </c>
      <c r="C360">
        <v>19.88</v>
      </c>
    </row>
    <row r="361" spans="1:3" x14ac:dyDescent="0.3">
      <c r="A361" s="11" t="s">
        <v>699</v>
      </c>
      <c r="B361">
        <v>0</v>
      </c>
      <c r="C361">
        <v>1.49</v>
      </c>
    </row>
    <row r="362" spans="1:3" x14ac:dyDescent="0.3">
      <c r="A362" s="7" t="s">
        <v>701</v>
      </c>
      <c r="B362">
        <v>5</v>
      </c>
      <c r="C362">
        <v>5.68</v>
      </c>
    </row>
    <row r="363" spans="1:3" x14ac:dyDescent="0.3">
      <c r="A363" s="11" t="s">
        <v>700</v>
      </c>
      <c r="B363">
        <v>3</v>
      </c>
      <c r="C363">
        <v>2.3199999999999998</v>
      </c>
    </row>
    <row r="364" spans="1:3" x14ac:dyDescent="0.3">
      <c r="A364" s="11" t="s">
        <v>702</v>
      </c>
      <c r="B364">
        <v>0</v>
      </c>
      <c r="C364">
        <v>0.43000000000000005</v>
      </c>
    </row>
    <row r="365" spans="1:3" x14ac:dyDescent="0.3">
      <c r="A365" s="11" t="s">
        <v>703</v>
      </c>
      <c r="B365">
        <v>2</v>
      </c>
      <c r="C365">
        <v>2.08</v>
      </c>
    </row>
    <row r="366" spans="1:3" x14ac:dyDescent="0.3">
      <c r="A366" s="11" t="s">
        <v>704</v>
      </c>
      <c r="B366">
        <v>0</v>
      </c>
      <c r="C366">
        <v>0.85</v>
      </c>
    </row>
    <row r="367" spans="1:3" x14ac:dyDescent="0.3">
      <c r="A367" s="7" t="s">
        <v>706</v>
      </c>
      <c r="B367">
        <v>3</v>
      </c>
      <c r="C367">
        <v>16.93</v>
      </c>
    </row>
    <row r="368" spans="1:3" x14ac:dyDescent="0.3">
      <c r="A368" s="11" t="s">
        <v>705</v>
      </c>
      <c r="B368">
        <v>1</v>
      </c>
      <c r="C368">
        <v>1.38</v>
      </c>
    </row>
    <row r="369" spans="1:3" x14ac:dyDescent="0.3">
      <c r="A369" s="11" t="s">
        <v>707</v>
      </c>
      <c r="B369">
        <v>0</v>
      </c>
      <c r="C369">
        <v>3.08</v>
      </c>
    </row>
    <row r="370" spans="1:3" x14ac:dyDescent="0.3">
      <c r="A370" s="11" t="s">
        <v>708</v>
      </c>
      <c r="B370">
        <v>1</v>
      </c>
      <c r="C370">
        <v>2.5</v>
      </c>
    </row>
    <row r="371" spans="1:3" x14ac:dyDescent="0.3">
      <c r="A371" s="11" t="s">
        <v>709</v>
      </c>
      <c r="B371">
        <v>0</v>
      </c>
      <c r="C371">
        <v>6.49</v>
      </c>
    </row>
    <row r="372" spans="1:3" x14ac:dyDescent="0.3">
      <c r="A372" s="11" t="s">
        <v>710</v>
      </c>
      <c r="B372">
        <v>0</v>
      </c>
      <c r="C372">
        <v>1.0900000000000001</v>
      </c>
    </row>
    <row r="373" spans="1:3" x14ac:dyDescent="0.3">
      <c r="A373" s="11" t="s">
        <v>711</v>
      </c>
      <c r="B373">
        <v>1</v>
      </c>
      <c r="C373">
        <v>2.39</v>
      </c>
    </row>
    <row r="374" spans="1:3" x14ac:dyDescent="0.3">
      <c r="A374" s="7" t="s">
        <v>713</v>
      </c>
      <c r="B374">
        <v>24</v>
      </c>
      <c r="C374">
        <v>24.120000000000005</v>
      </c>
    </row>
    <row r="375" spans="1:3" x14ac:dyDescent="0.3">
      <c r="A375" s="11" t="s">
        <v>712</v>
      </c>
      <c r="B375">
        <v>0</v>
      </c>
      <c r="C375">
        <v>0.16</v>
      </c>
    </row>
    <row r="376" spans="1:3" x14ac:dyDescent="0.3">
      <c r="A376" s="11" t="s">
        <v>714</v>
      </c>
      <c r="B376">
        <v>0</v>
      </c>
      <c r="C376">
        <v>0.63</v>
      </c>
    </row>
    <row r="377" spans="1:3" x14ac:dyDescent="0.3">
      <c r="A377" s="11" t="s">
        <v>715</v>
      </c>
      <c r="B377">
        <v>9</v>
      </c>
      <c r="C377">
        <v>7.1</v>
      </c>
    </row>
    <row r="378" spans="1:3" x14ac:dyDescent="0.3">
      <c r="A378" s="11" t="s">
        <v>716</v>
      </c>
      <c r="B378">
        <v>15</v>
      </c>
      <c r="C378">
        <v>16.220000000000002</v>
      </c>
    </row>
    <row r="379" spans="1:3" x14ac:dyDescent="0.3">
      <c r="A379" s="11" t="s">
        <v>717</v>
      </c>
      <c r="B379">
        <v>0</v>
      </c>
      <c r="C379">
        <v>0.01</v>
      </c>
    </row>
    <row r="380" spans="1:3" x14ac:dyDescent="0.3">
      <c r="A380" s="7" t="s">
        <v>719</v>
      </c>
      <c r="B380">
        <v>199</v>
      </c>
      <c r="C380">
        <v>236.24</v>
      </c>
    </row>
    <row r="381" spans="1:3" x14ac:dyDescent="0.3">
      <c r="A381" s="11" t="s">
        <v>718</v>
      </c>
      <c r="B381">
        <v>1</v>
      </c>
      <c r="C381">
        <v>10.9</v>
      </c>
    </row>
    <row r="382" spans="1:3" x14ac:dyDescent="0.3">
      <c r="A382" s="11" t="s">
        <v>720</v>
      </c>
      <c r="B382">
        <v>1</v>
      </c>
      <c r="C382">
        <v>1.35</v>
      </c>
    </row>
    <row r="383" spans="1:3" x14ac:dyDescent="0.3">
      <c r="A383" s="11" t="s">
        <v>721</v>
      </c>
      <c r="B383">
        <v>8</v>
      </c>
      <c r="C383">
        <v>6.87</v>
      </c>
    </row>
    <row r="384" spans="1:3" x14ac:dyDescent="0.3">
      <c r="A384" s="11" t="s">
        <v>722</v>
      </c>
      <c r="B384">
        <v>3</v>
      </c>
      <c r="C384">
        <v>6.49</v>
      </c>
    </row>
    <row r="385" spans="1:3" x14ac:dyDescent="0.3">
      <c r="A385" s="11" t="s">
        <v>723</v>
      </c>
      <c r="B385">
        <v>17</v>
      </c>
      <c r="C385">
        <v>20.03</v>
      </c>
    </row>
    <row r="386" spans="1:3" x14ac:dyDescent="0.3">
      <c r="A386" s="11" t="s">
        <v>724</v>
      </c>
      <c r="B386">
        <v>20</v>
      </c>
      <c r="C386">
        <v>50.16</v>
      </c>
    </row>
    <row r="387" spans="1:3" x14ac:dyDescent="0.3">
      <c r="A387" s="11" t="s">
        <v>725</v>
      </c>
      <c r="B387">
        <v>0</v>
      </c>
      <c r="C387">
        <v>0.06</v>
      </c>
    </row>
    <row r="388" spans="1:3" x14ac:dyDescent="0.3">
      <c r="A388" s="11" t="s">
        <v>726</v>
      </c>
      <c r="B388">
        <v>13</v>
      </c>
      <c r="C388">
        <v>7.32</v>
      </c>
    </row>
    <row r="389" spans="1:3" x14ac:dyDescent="0.3">
      <c r="A389" s="11" t="s">
        <v>727</v>
      </c>
      <c r="B389">
        <v>8</v>
      </c>
      <c r="C389">
        <v>9.31</v>
      </c>
    </row>
    <row r="390" spans="1:3" x14ac:dyDescent="0.3">
      <c r="A390" s="11" t="s">
        <v>728</v>
      </c>
      <c r="B390">
        <v>35</v>
      </c>
      <c r="C390">
        <v>26.34</v>
      </c>
    </row>
    <row r="391" spans="1:3" x14ac:dyDescent="0.3">
      <c r="A391" s="11" t="s">
        <v>729</v>
      </c>
      <c r="B391">
        <v>3</v>
      </c>
      <c r="C391">
        <v>1.85</v>
      </c>
    </row>
    <row r="392" spans="1:3" x14ac:dyDescent="0.3">
      <c r="A392" s="11" t="s">
        <v>730</v>
      </c>
      <c r="B392">
        <v>90</v>
      </c>
      <c r="C392">
        <v>95.56</v>
      </c>
    </row>
    <row r="393" spans="1:3" x14ac:dyDescent="0.3">
      <c r="A393" s="7" t="s">
        <v>732</v>
      </c>
      <c r="B393">
        <v>5</v>
      </c>
      <c r="C393">
        <v>8.2900000000000009</v>
      </c>
    </row>
    <row r="394" spans="1:3" x14ac:dyDescent="0.3">
      <c r="A394" s="11" t="s">
        <v>731</v>
      </c>
      <c r="B394">
        <v>2</v>
      </c>
      <c r="C394">
        <v>7.07</v>
      </c>
    </row>
    <row r="395" spans="1:3" x14ac:dyDescent="0.3">
      <c r="A395" s="11" t="s">
        <v>733</v>
      </c>
      <c r="B395">
        <v>0</v>
      </c>
      <c r="C395">
        <v>0.04</v>
      </c>
    </row>
    <row r="396" spans="1:3" x14ac:dyDescent="0.3">
      <c r="A396" s="11" t="s">
        <v>734</v>
      </c>
      <c r="B396">
        <v>3</v>
      </c>
      <c r="C396">
        <v>1.18</v>
      </c>
    </row>
    <row r="397" spans="1:3" x14ac:dyDescent="0.3">
      <c r="A397" s="7" t="s">
        <v>736</v>
      </c>
      <c r="B397">
        <v>16</v>
      </c>
      <c r="C397">
        <v>22.85</v>
      </c>
    </row>
    <row r="398" spans="1:3" x14ac:dyDescent="0.3">
      <c r="A398" s="11" t="s">
        <v>735</v>
      </c>
      <c r="B398">
        <v>0</v>
      </c>
      <c r="C398">
        <v>0.01</v>
      </c>
    </row>
    <row r="399" spans="1:3" x14ac:dyDescent="0.3">
      <c r="A399" s="11" t="s">
        <v>737</v>
      </c>
      <c r="B399">
        <v>11</v>
      </c>
      <c r="C399">
        <v>10.8</v>
      </c>
    </row>
    <row r="400" spans="1:3" x14ac:dyDescent="0.3">
      <c r="A400" s="11" t="s">
        <v>738</v>
      </c>
      <c r="B400">
        <v>0</v>
      </c>
      <c r="C400">
        <v>0</v>
      </c>
    </row>
    <row r="401" spans="1:3" x14ac:dyDescent="0.3">
      <c r="A401" s="11" t="s">
        <v>739</v>
      </c>
      <c r="B401">
        <v>5</v>
      </c>
      <c r="C401">
        <v>3.55</v>
      </c>
    </row>
    <row r="402" spans="1:3" x14ac:dyDescent="0.3">
      <c r="A402" s="11" t="s">
        <v>740</v>
      </c>
      <c r="B402">
        <v>0</v>
      </c>
      <c r="C402">
        <v>8.49</v>
      </c>
    </row>
    <row r="403" spans="1:3" x14ac:dyDescent="0.3">
      <c r="A403" s="7" t="s">
        <v>742</v>
      </c>
      <c r="B403">
        <v>0</v>
      </c>
      <c r="C403">
        <v>0.14000000000000001</v>
      </c>
    </row>
    <row r="404" spans="1:3" x14ac:dyDescent="0.3">
      <c r="A404" s="11" t="s">
        <v>741</v>
      </c>
      <c r="B404">
        <v>0</v>
      </c>
      <c r="C404">
        <v>0.1</v>
      </c>
    </row>
    <row r="405" spans="1:3" x14ac:dyDescent="0.3">
      <c r="A405" s="11" t="s">
        <v>743</v>
      </c>
      <c r="B405">
        <v>0</v>
      </c>
      <c r="C405">
        <v>0.04</v>
      </c>
    </row>
    <row r="406" spans="1:3" x14ac:dyDescent="0.3">
      <c r="A406" s="7" t="s">
        <v>745</v>
      </c>
      <c r="B406">
        <v>7</v>
      </c>
      <c r="C406">
        <v>19.839999999999996</v>
      </c>
    </row>
    <row r="407" spans="1:3" x14ac:dyDescent="0.3">
      <c r="A407" s="11" t="s">
        <v>744</v>
      </c>
      <c r="B407">
        <v>4</v>
      </c>
      <c r="C407">
        <v>5.7399999999999993</v>
      </c>
    </row>
    <row r="408" spans="1:3" x14ac:dyDescent="0.3">
      <c r="A408" s="11" t="s">
        <v>746</v>
      </c>
      <c r="B408">
        <v>1</v>
      </c>
      <c r="C408">
        <v>4.6900000000000004</v>
      </c>
    </row>
    <row r="409" spans="1:3" x14ac:dyDescent="0.3">
      <c r="A409" s="11" t="s">
        <v>747</v>
      </c>
      <c r="B409">
        <v>1</v>
      </c>
      <c r="C409">
        <v>5.83</v>
      </c>
    </row>
    <row r="410" spans="1:3" x14ac:dyDescent="0.3">
      <c r="A410" s="11" t="s">
        <v>748</v>
      </c>
      <c r="B410">
        <v>1</v>
      </c>
      <c r="C410">
        <v>1.52</v>
      </c>
    </row>
    <row r="411" spans="1:3" x14ac:dyDescent="0.3">
      <c r="A411" s="11" t="s">
        <v>749</v>
      </c>
      <c r="B411">
        <v>0</v>
      </c>
      <c r="C411">
        <v>2.06</v>
      </c>
    </row>
    <row r="412" spans="1:3" x14ac:dyDescent="0.3">
      <c r="A412" s="7" t="s">
        <v>751</v>
      </c>
      <c r="B412">
        <v>17</v>
      </c>
      <c r="C412">
        <v>26.73</v>
      </c>
    </row>
    <row r="413" spans="1:3" x14ac:dyDescent="0.3">
      <c r="A413" s="11" t="s">
        <v>750</v>
      </c>
      <c r="B413">
        <v>0</v>
      </c>
      <c r="C413">
        <v>0.12</v>
      </c>
    </row>
    <row r="414" spans="1:3" x14ac:dyDescent="0.3">
      <c r="A414" s="11" t="s">
        <v>752</v>
      </c>
      <c r="B414">
        <v>3</v>
      </c>
      <c r="C414">
        <v>5.21</v>
      </c>
    </row>
    <row r="415" spans="1:3" x14ac:dyDescent="0.3">
      <c r="A415" s="11" t="s">
        <v>753</v>
      </c>
      <c r="B415">
        <v>0</v>
      </c>
      <c r="C415">
        <v>0.93</v>
      </c>
    </row>
    <row r="416" spans="1:3" x14ac:dyDescent="0.3">
      <c r="A416" s="11" t="s">
        <v>754</v>
      </c>
      <c r="B416">
        <v>9</v>
      </c>
      <c r="C416">
        <v>13.6</v>
      </c>
    </row>
    <row r="417" spans="1:3" x14ac:dyDescent="0.3">
      <c r="A417" s="11" t="s">
        <v>755</v>
      </c>
      <c r="B417">
        <v>4</v>
      </c>
      <c r="C417">
        <v>2.78</v>
      </c>
    </row>
    <row r="418" spans="1:3" x14ac:dyDescent="0.3">
      <c r="A418" s="11" t="s">
        <v>756</v>
      </c>
      <c r="B418">
        <v>0</v>
      </c>
      <c r="C418">
        <v>0.32</v>
      </c>
    </row>
    <row r="419" spans="1:3" x14ac:dyDescent="0.3">
      <c r="A419" s="11" t="s">
        <v>757</v>
      </c>
      <c r="B419">
        <v>1</v>
      </c>
      <c r="C419">
        <v>3.77</v>
      </c>
    </row>
    <row r="420" spans="1:3" x14ac:dyDescent="0.3">
      <c r="A420" s="7" t="s">
        <v>759</v>
      </c>
      <c r="B420">
        <v>36</v>
      </c>
      <c r="C420">
        <v>35.65</v>
      </c>
    </row>
    <row r="421" spans="1:3" x14ac:dyDescent="0.3">
      <c r="A421" s="11" t="s">
        <v>758</v>
      </c>
      <c r="B421">
        <v>3</v>
      </c>
      <c r="C421">
        <v>1.76</v>
      </c>
    </row>
    <row r="422" spans="1:3" x14ac:dyDescent="0.3">
      <c r="A422" s="11" t="s">
        <v>760</v>
      </c>
      <c r="B422">
        <v>5</v>
      </c>
      <c r="C422">
        <v>11.18</v>
      </c>
    </row>
    <row r="423" spans="1:3" x14ac:dyDescent="0.3">
      <c r="A423" s="11" t="s">
        <v>761</v>
      </c>
      <c r="B423">
        <v>7</v>
      </c>
      <c r="C423">
        <v>2.93</v>
      </c>
    </row>
    <row r="424" spans="1:3" x14ac:dyDescent="0.3">
      <c r="A424" s="11" t="s">
        <v>762</v>
      </c>
      <c r="B424">
        <v>0</v>
      </c>
      <c r="C424">
        <v>0.32</v>
      </c>
    </row>
    <row r="425" spans="1:3" x14ac:dyDescent="0.3">
      <c r="A425" s="11" t="s">
        <v>763</v>
      </c>
      <c r="B425">
        <v>9</v>
      </c>
      <c r="C425">
        <v>6.07</v>
      </c>
    </row>
    <row r="426" spans="1:3" x14ac:dyDescent="0.3">
      <c r="A426" s="11" t="s">
        <v>764</v>
      </c>
      <c r="B426">
        <v>12</v>
      </c>
      <c r="C426">
        <v>13.14</v>
      </c>
    </row>
    <row r="427" spans="1:3" x14ac:dyDescent="0.3">
      <c r="A427" s="11" t="s">
        <v>765</v>
      </c>
      <c r="B427">
        <v>0</v>
      </c>
      <c r="C427">
        <v>0.24</v>
      </c>
    </row>
    <row r="428" spans="1:3" x14ac:dyDescent="0.3">
      <c r="A428" s="11" t="s">
        <v>766</v>
      </c>
      <c r="B428">
        <v>0</v>
      </c>
      <c r="C428">
        <v>0.01</v>
      </c>
    </row>
    <row r="429" spans="1:3" x14ac:dyDescent="0.3">
      <c r="A429" s="7" t="s">
        <v>768</v>
      </c>
      <c r="B429">
        <v>0</v>
      </c>
      <c r="C429">
        <v>0.01</v>
      </c>
    </row>
    <row r="430" spans="1:3" x14ac:dyDescent="0.3">
      <c r="A430" s="11" t="s">
        <v>767</v>
      </c>
      <c r="B430">
        <v>0</v>
      </c>
      <c r="C430">
        <v>0.01</v>
      </c>
    </row>
    <row r="431" spans="1:3" x14ac:dyDescent="0.3">
      <c r="A431" s="7" t="s">
        <v>770</v>
      </c>
      <c r="B431">
        <v>2</v>
      </c>
      <c r="C431">
        <v>1.46</v>
      </c>
    </row>
    <row r="432" spans="1:3" x14ac:dyDescent="0.3">
      <c r="A432" s="11" t="s">
        <v>769</v>
      </c>
      <c r="B432">
        <v>2</v>
      </c>
      <c r="C432">
        <v>1.46</v>
      </c>
    </row>
    <row r="433" spans="1:3" x14ac:dyDescent="0.3">
      <c r="A433" s="7" t="s">
        <v>772</v>
      </c>
      <c r="B433">
        <v>0</v>
      </c>
      <c r="C433">
        <v>0.1</v>
      </c>
    </row>
    <row r="434" spans="1:3" x14ac:dyDescent="0.3">
      <c r="A434" s="11" t="s">
        <v>771</v>
      </c>
      <c r="B434">
        <v>0</v>
      </c>
      <c r="C434">
        <v>0.1</v>
      </c>
    </row>
    <row r="435" spans="1:3" x14ac:dyDescent="0.3">
      <c r="A435" s="7" t="s">
        <v>774</v>
      </c>
      <c r="B435">
        <v>22</v>
      </c>
      <c r="C435">
        <v>20.270000000000003</v>
      </c>
    </row>
    <row r="436" spans="1:3" x14ac:dyDescent="0.3">
      <c r="A436" s="11" t="s">
        <v>773</v>
      </c>
      <c r="B436">
        <v>0</v>
      </c>
      <c r="C436">
        <v>0.73</v>
      </c>
    </row>
    <row r="437" spans="1:3" x14ac:dyDescent="0.3">
      <c r="A437" s="11" t="s">
        <v>775</v>
      </c>
      <c r="B437">
        <v>17</v>
      </c>
      <c r="C437">
        <v>17.62</v>
      </c>
    </row>
    <row r="438" spans="1:3" x14ac:dyDescent="0.3">
      <c r="A438" s="11" t="s">
        <v>776</v>
      </c>
    </row>
    <row r="439" spans="1:3" x14ac:dyDescent="0.3">
      <c r="A439" s="11" t="s">
        <v>777</v>
      </c>
      <c r="B439">
        <v>0</v>
      </c>
      <c r="C439">
        <v>0</v>
      </c>
    </row>
    <row r="440" spans="1:3" x14ac:dyDescent="0.3">
      <c r="A440" s="11" t="s">
        <v>778</v>
      </c>
      <c r="B440">
        <v>5</v>
      </c>
      <c r="C440">
        <v>1.92</v>
      </c>
    </row>
    <row r="441" spans="1:3" x14ac:dyDescent="0.3">
      <c r="A441" s="7" t="s">
        <v>780</v>
      </c>
      <c r="B441">
        <v>4</v>
      </c>
      <c r="C441">
        <v>0.98</v>
      </c>
    </row>
    <row r="442" spans="1:3" x14ac:dyDescent="0.3">
      <c r="A442" s="11" t="s">
        <v>779</v>
      </c>
      <c r="B442">
        <v>4</v>
      </c>
      <c r="C442">
        <v>0.98</v>
      </c>
    </row>
    <row r="443" spans="1:3" x14ac:dyDescent="0.3">
      <c r="A443" s="7" t="s">
        <v>782</v>
      </c>
      <c r="B443">
        <v>34</v>
      </c>
      <c r="C443">
        <v>31.29</v>
      </c>
    </row>
    <row r="444" spans="1:3" x14ac:dyDescent="0.3">
      <c r="A444" s="11" t="s">
        <v>781</v>
      </c>
      <c r="B444">
        <v>2</v>
      </c>
      <c r="C444">
        <v>4.01</v>
      </c>
    </row>
    <row r="445" spans="1:3" x14ac:dyDescent="0.3">
      <c r="A445" s="11" t="s">
        <v>783</v>
      </c>
      <c r="B445">
        <v>13</v>
      </c>
      <c r="C445">
        <v>8.42</v>
      </c>
    </row>
    <row r="446" spans="1:3" x14ac:dyDescent="0.3">
      <c r="A446" s="11" t="s">
        <v>784</v>
      </c>
      <c r="B446">
        <v>5</v>
      </c>
      <c r="C446">
        <v>9.39</v>
      </c>
    </row>
    <row r="447" spans="1:3" x14ac:dyDescent="0.3">
      <c r="A447" s="11" t="s">
        <v>785</v>
      </c>
      <c r="B447">
        <v>0</v>
      </c>
      <c r="C447">
        <v>0.36</v>
      </c>
    </row>
    <row r="448" spans="1:3" x14ac:dyDescent="0.3">
      <c r="A448" s="11" t="s">
        <v>786</v>
      </c>
      <c r="B448">
        <v>0</v>
      </c>
      <c r="C448">
        <v>0</v>
      </c>
    </row>
    <row r="449" spans="1:3" x14ac:dyDescent="0.3">
      <c r="A449" s="11" t="s">
        <v>787</v>
      </c>
      <c r="B449">
        <v>4</v>
      </c>
      <c r="C449">
        <v>1.58</v>
      </c>
    </row>
    <row r="450" spans="1:3" x14ac:dyDescent="0.3">
      <c r="A450" s="11" t="s">
        <v>788</v>
      </c>
      <c r="B450">
        <v>5</v>
      </c>
      <c r="C450">
        <v>4.37</v>
      </c>
    </row>
    <row r="451" spans="1:3" x14ac:dyDescent="0.3">
      <c r="A451" s="11" t="s">
        <v>789</v>
      </c>
      <c r="B451">
        <v>0</v>
      </c>
      <c r="C451">
        <v>0.01</v>
      </c>
    </row>
    <row r="452" spans="1:3" x14ac:dyDescent="0.3">
      <c r="A452" s="11" t="s">
        <v>790</v>
      </c>
      <c r="B452">
        <v>5</v>
      </c>
      <c r="C452">
        <v>2.81</v>
      </c>
    </row>
    <row r="453" spans="1:3" x14ac:dyDescent="0.3">
      <c r="A453" s="11" t="s">
        <v>791</v>
      </c>
      <c r="B453">
        <v>0</v>
      </c>
      <c r="C453">
        <v>0.34</v>
      </c>
    </row>
    <row r="454" spans="1:3" x14ac:dyDescent="0.3">
      <c r="A454" s="7" t="s">
        <v>793</v>
      </c>
      <c r="B454">
        <v>5</v>
      </c>
      <c r="C454">
        <v>2.34</v>
      </c>
    </row>
    <row r="455" spans="1:3" x14ac:dyDescent="0.3">
      <c r="A455" s="11" t="s">
        <v>792</v>
      </c>
      <c r="B455">
        <v>1</v>
      </c>
      <c r="C455">
        <v>0.55000000000000004</v>
      </c>
    </row>
    <row r="456" spans="1:3" x14ac:dyDescent="0.3">
      <c r="A456" s="11" t="s">
        <v>794</v>
      </c>
      <c r="B456">
        <v>4</v>
      </c>
      <c r="C456">
        <v>1.79</v>
      </c>
    </row>
    <row r="457" spans="1:3" x14ac:dyDescent="0.3">
      <c r="A457" s="7" t="s">
        <v>796</v>
      </c>
      <c r="B457">
        <v>5</v>
      </c>
      <c r="C457">
        <v>7.04</v>
      </c>
    </row>
    <row r="458" spans="1:3" x14ac:dyDescent="0.3">
      <c r="A458" s="11" t="s">
        <v>795</v>
      </c>
      <c r="B458">
        <v>5</v>
      </c>
      <c r="C458">
        <v>7.04</v>
      </c>
    </row>
    <row r="459" spans="1:3" x14ac:dyDescent="0.3">
      <c r="A459" s="7" t="s">
        <v>800</v>
      </c>
      <c r="B459">
        <v>2923</v>
      </c>
      <c r="C459">
        <v>3149.3000000000011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002550 Freezer Inventory Log</vt:lpstr>
      <vt:lpstr>002550 Freezer_Non-Macro</vt:lpstr>
      <vt:lpstr>Vlookup Freezer Inventory Log</vt:lpstr>
      <vt:lpstr>Raw CLABSI Data</vt:lpstr>
      <vt:lpstr>CLABSI Pivot Data</vt:lpstr>
      <vt:lpstr>Cleaned CLABSI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O'Quinn</dc:creator>
  <cp:lastModifiedBy>joqui</cp:lastModifiedBy>
  <dcterms:created xsi:type="dcterms:W3CDTF">2023-01-27T17:18:09Z</dcterms:created>
  <dcterms:modified xsi:type="dcterms:W3CDTF">2023-02-02T14:56:44Z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4b0349e-f6a7-49f0-85a5-e77b7f470e37_Enabled">
    <vt:lpwstr>true</vt:lpwstr>
  </property>
  <property fmtid="{D5CDD505-2E9C-101B-9397-08002B2CF9AE}" pid="3" name="MSIP_Label_64b0349e-f6a7-49f0-85a5-e77b7f470e37_SetDate">
    <vt:lpwstr>2023-01-27T19:42:29Z</vt:lpwstr>
  </property>
  <property fmtid="{D5CDD505-2E9C-101B-9397-08002B2CF9AE}" pid="4" name="MSIP_Label_64b0349e-f6a7-49f0-85a5-e77b7f470e37_Method">
    <vt:lpwstr>Standard</vt:lpwstr>
  </property>
  <property fmtid="{D5CDD505-2E9C-101B-9397-08002B2CF9AE}" pid="5" name="MSIP_Label_64b0349e-f6a7-49f0-85a5-e77b7f470e37_Name">
    <vt:lpwstr>Internal Information</vt:lpwstr>
  </property>
  <property fmtid="{D5CDD505-2E9C-101B-9397-08002B2CF9AE}" pid="6" name="MSIP_Label_64b0349e-f6a7-49f0-85a5-e77b7f470e37_SiteId">
    <vt:lpwstr>c7dabf61-b6e1-48f0-b031-8a2f8d7d3ecb</vt:lpwstr>
  </property>
  <property fmtid="{D5CDD505-2E9C-101B-9397-08002B2CF9AE}" pid="7" name="MSIP_Label_64b0349e-f6a7-49f0-85a5-e77b7f470e37_ActionId">
    <vt:lpwstr>dd40a93f-b9e3-40e5-8459-163ad4baa6f3</vt:lpwstr>
  </property>
  <property fmtid="{D5CDD505-2E9C-101B-9397-08002B2CF9AE}" pid="8" name="MSIP_Label_64b0349e-f6a7-49f0-85a5-e77b7f470e37_ContentBits">
    <vt:lpwstr>2</vt:lpwstr>
  </property>
</Properties>
</file>